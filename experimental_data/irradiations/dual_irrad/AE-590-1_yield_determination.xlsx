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74608DC9-AD71-4D7C-9B5B-F3E41F47E88B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5" i="1" l="1"/>
  <c r="G5" i="1" l="1"/>
  <c r="G8" i="1" s="1"/>
  <c r="F5" i="1"/>
  <c r="E5" i="1" l="1"/>
  <c r="I5" i="1" l="1"/>
  <c r="H8" i="1" l="1"/>
  <c r="E8" i="1" l="1"/>
  <c r="D5" i="1"/>
  <c r="D8" i="1" l="1"/>
  <c r="F8" i="1"/>
  <c r="I8" i="1" l="1"/>
</calcChain>
</file>

<file path=xl/sharedStrings.xml><?xml version="1.0" encoding="utf-8"?>
<sst xmlns="http://schemas.openxmlformats.org/spreadsheetml/2006/main" count="18" uniqueCount="16">
  <si>
    <t>0 ppm</t>
  </si>
  <si>
    <t>Before</t>
  </si>
  <si>
    <t>Adjusted to inten-sitiy before at 0 ppm</t>
  </si>
  <si>
    <t>90 ppm</t>
  </si>
  <si>
    <t>Yield hydride</t>
  </si>
  <si>
    <t>Unreacted susbstrate</t>
  </si>
  <si>
    <t>Other stuff</t>
  </si>
  <si>
    <t>81.8 ppm</t>
  </si>
  <si>
    <t>Yield trans hydride</t>
  </si>
  <si>
    <t>Main side prod</t>
  </si>
  <si>
    <t>Other signals</t>
  </si>
  <si>
    <t>Other sideproducts</t>
  </si>
  <si>
    <t>Against -1</t>
  </si>
  <si>
    <t>67 ppm</t>
  </si>
  <si>
    <t>57 ppm</t>
  </si>
  <si>
    <t>After irrad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</si>
</sst>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0"/>
  <sheetViews>
    <sheetView tabSelected="1" topLeftCell="C1" workbookViewId="0">
      <selection activeCell="G15" sqref="G15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2.375" bestFit="1" customWidth="1"/>
    <col min="5" max="5" width="16.125" bestFit="1" customWidth="1"/>
    <col min="6" max="6" width="18.375" bestFit="1" customWidth="1"/>
    <col min="7" max="7" width="16" customWidth="1"/>
    <col min="8" max="8" width="16.5" bestFit="1" customWidth="1"/>
    <col min="9" max="9" width="14.375" bestFit="1" customWidth="1"/>
  </cols>
  <sheetData>
    <row r="1" spans="2:9" x14ac:dyDescent="0.25">
      <c r="C1" t="s">
        <v>12</v>
      </c>
      <c r="D1" t="s">
        <v>3</v>
      </c>
      <c r="E1" t="s">
        <v>7</v>
      </c>
      <c r="F1" t="s">
        <v>13</v>
      </c>
      <c r="G1" t="s">
        <v>14</v>
      </c>
      <c r="H1" t="s">
        <v>10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689696.8</v>
      </c>
      <c r="G2" s="4">
        <v>0</v>
      </c>
      <c r="H2" s="4">
        <v>44887.06</v>
      </c>
      <c r="I2" s="4">
        <v>2423006.91</v>
      </c>
    </row>
    <row r="3" spans="2:9" x14ac:dyDescent="0.25">
      <c r="C3" t="s">
        <v>15</v>
      </c>
      <c r="D3" s="4">
        <v>91647.4</v>
      </c>
      <c r="E3" s="4">
        <v>0</v>
      </c>
      <c r="F3" s="4">
        <v>240103.25</v>
      </c>
      <c r="G3" s="4">
        <v>107911.15</v>
      </c>
      <c r="H3" s="4">
        <f>37511.32+72475.44</f>
        <v>109986.76000000001</v>
      </c>
      <c r="I3" s="4">
        <v>1768987.99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15</v>
      </c>
      <c r="D5" s="4">
        <f>D3*$I$2/$I3</f>
        <v>125530.69028101994</v>
      </c>
      <c r="E5" s="4">
        <f>(E3-E2)*$I$2/$I3</f>
        <v>0</v>
      </c>
      <c r="F5" s="4">
        <f>(F3)*$I$2/$I3</f>
        <v>328872.68718170183</v>
      </c>
      <c r="G5" s="4">
        <f>(G3)*$I$2/$I3</f>
        <v>147807.36986012352</v>
      </c>
      <c r="H5" s="4">
        <f>(H3)*$I$2/$I3</f>
        <v>150650.36110760234</v>
      </c>
      <c r="I5" s="4">
        <f>I3*$I$2/$I3</f>
        <v>2423006.91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/>
      <c r="D7" s="4" t="s">
        <v>4</v>
      </c>
      <c r="E7" s="4" t="s">
        <v>8</v>
      </c>
      <c r="F7" s="4" t="s">
        <v>5</v>
      </c>
      <c r="G7" s="4" t="s">
        <v>9</v>
      </c>
      <c r="H7" s="4" t="s">
        <v>11</v>
      </c>
      <c r="I7" s="4" t="s">
        <v>6</v>
      </c>
    </row>
    <row r="8" spans="2:9" x14ac:dyDescent="0.25">
      <c r="C8" t="s">
        <v>15</v>
      </c>
      <c r="D8" s="4">
        <f>D5/$F$2</f>
        <v>0.18200851487352113</v>
      </c>
      <c r="E8" s="4">
        <f>E5/$F$2</f>
        <v>0</v>
      </c>
      <c r="F8" s="4">
        <f>F5/$F$2</f>
        <v>0.47683661455541304</v>
      </c>
      <c r="G8" s="4">
        <f>G5/$F$2</f>
        <v>0.21430775068134797</v>
      </c>
      <c r="H8" s="4">
        <f>H5/$F$2</f>
        <v>0.21842983918093042</v>
      </c>
      <c r="I8" s="4">
        <f>1-SUM(D8:H8)</f>
        <v>-9.1582719291212644E-2</v>
      </c>
    </row>
    <row r="9" spans="2:9" x14ac:dyDescent="0.25">
      <c r="D9" s="4"/>
      <c r="E9" s="4"/>
      <c r="F9" s="4"/>
      <c r="G9" s="4"/>
      <c r="H9" s="4"/>
      <c r="I9" s="4"/>
    </row>
    <row r="10" spans="2:9" x14ac:dyDescent="0.25">
      <c r="D10" s="4"/>
      <c r="E10" s="4"/>
      <c r="F10" s="4"/>
      <c r="G10" s="4"/>
      <c r="H10" s="4"/>
      <c r="I10" s="4"/>
    </row>
    <row r="11" spans="2:9" x14ac:dyDescent="0.25">
      <c r="D11" s="4"/>
      <c r="E11" s="4"/>
      <c r="F11" s="4"/>
      <c r="G11" s="4"/>
      <c r="H11" s="4"/>
      <c r="I11" s="4"/>
    </row>
    <row r="12" spans="2:9" x14ac:dyDescent="0.25">
      <c r="D12" s="4"/>
      <c r="E12" s="4"/>
      <c r="F12" s="4"/>
      <c r="G12" s="4"/>
      <c r="H12" s="4"/>
      <c r="I12" s="4"/>
    </row>
    <row r="13" spans="2:9" x14ac:dyDescent="0.25">
      <c r="C13" s="1"/>
      <c r="D13" s="4"/>
      <c r="E13" s="4"/>
      <c r="F13" s="4"/>
      <c r="G13" s="4"/>
      <c r="H13" s="4"/>
      <c r="I13" s="4"/>
    </row>
    <row r="14" spans="2:9" x14ac:dyDescent="0.25">
      <c r="C14" s="1"/>
      <c r="D14" s="4"/>
      <c r="E14" s="4"/>
      <c r="F14" s="4"/>
      <c r="G14" s="4"/>
      <c r="H14" s="4"/>
      <c r="I14" s="4"/>
    </row>
    <row r="15" spans="2:9" x14ac:dyDescent="0.25">
      <c r="D15" s="4"/>
      <c r="E15" s="4"/>
      <c r="F15" s="4"/>
      <c r="G15" s="4"/>
      <c r="H15" s="4"/>
      <c r="I15" s="4"/>
    </row>
    <row r="54" spans="14:14" x14ac:dyDescent="0.25">
      <c r="N54" s="2"/>
    </row>
    <row r="55" spans="14:14" x14ac:dyDescent="0.25">
      <c r="N55" s="2"/>
    </row>
    <row r="56" spans="14:14" x14ac:dyDescent="0.25">
      <c r="N56" s="2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2025-10-21T07:11:18Z</dcterms:modified>
</cp:coreProperties>
</file>