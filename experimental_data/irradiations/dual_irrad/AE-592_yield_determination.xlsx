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esktop\Berechnungen\"/>
    </mc:Choice>
  </mc:AlternateContent>
  <xr:revisionPtr revIDLastSave="0" documentId="13_ncr:1_{8FE9FBCE-852E-4174-B483-8E1F0F78E91E}" xr6:coauthVersionLast="36" xr6:coauthVersionMax="36" xr10:uidLastSave="{00000000-0000-0000-0000-000000000000}"/>
  <bookViews>
    <workbookView xWindow="0" yWindow="0" windowWidth="28800" windowHeight="13905" xr2:uid="{41A491FD-4B9E-374A-A7E5-31AA742B0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I15" i="1" l="1"/>
  <c r="G15" i="1"/>
  <c r="G18" i="1" s="1"/>
  <c r="F15" i="1"/>
  <c r="F18" i="1" s="1"/>
  <c r="E15" i="1"/>
  <c r="E18" i="1" s="1"/>
  <c r="D15" i="1"/>
  <c r="D18" i="1" s="1"/>
  <c r="H15" i="1"/>
  <c r="H18" i="1" s="1"/>
  <c r="I18" i="1" l="1"/>
  <c r="H5" i="1" l="1"/>
  <c r="G5" i="1" l="1"/>
  <c r="G8" i="1" s="1"/>
  <c r="F5" i="1"/>
  <c r="E5" i="1" l="1"/>
  <c r="I5" i="1" l="1"/>
  <c r="H8" i="1" l="1"/>
  <c r="E8" i="1" l="1"/>
  <c r="D5" i="1"/>
  <c r="D8" i="1" l="1"/>
  <c r="F8" i="1"/>
  <c r="I8" i="1" l="1"/>
</calcChain>
</file>

<file path=xl/sharedStrings.xml><?xml version="1.0" encoding="utf-8"?>
<sst xmlns="http://schemas.openxmlformats.org/spreadsheetml/2006/main" count="35" uniqueCount="17">
  <si>
    <t>0 ppm</t>
  </si>
  <si>
    <t>Before</t>
  </si>
  <si>
    <t>Adjusted to inten-sitiy before at 0 ppm</t>
  </si>
  <si>
    <t>90 ppm</t>
  </si>
  <si>
    <t>Yield hydride</t>
  </si>
  <si>
    <t>Unreacted susbstrate</t>
  </si>
  <si>
    <t>Other stuff</t>
  </si>
  <si>
    <t>81.8 ppm</t>
  </si>
  <si>
    <t>Yield trans hydride</t>
  </si>
  <si>
    <t>Main side prod</t>
  </si>
  <si>
    <t>Other signals</t>
  </si>
  <si>
    <t>Other sideproducts</t>
  </si>
  <si>
    <t>After</t>
  </si>
  <si>
    <t>67 ppm</t>
  </si>
  <si>
    <t>57 ppm</t>
  </si>
  <si>
    <t>AE-592-1</t>
  </si>
  <si>
    <t>AE-592-3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</si>
</sst>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0" fillId="0" borderId="0" xfId="0" applyNumberFormat="1" applyBorder="1"/>
    <xf numFmtId="2" fontId="0" fillId="0" borderId="5" xfId="0" applyNumberFormat="1" applyBorder="1"/>
    <xf numFmtId="0" fontId="0" fillId="0" borderId="4" xfId="0" applyBorder="1" applyAlignment="1">
      <alignment wrapText="1"/>
    </xf>
    <xf numFmtId="0" fontId="0" fillId="2" borderId="6" xfId="0" applyFill="1" applyBorder="1"/>
    <xf numFmtId="2" fontId="0" fillId="2" borderId="7" xfId="0" applyNumberFormat="1" applyFill="1" applyBorder="1"/>
    <xf numFmtId="2" fontId="0" fillId="2" borderId="8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5D9-697E-0E4A-8B54-161E002639E6}">
  <dimension ref="B1:N85"/>
  <sheetViews>
    <sheetView tabSelected="1" topLeftCell="C1" workbookViewId="0">
      <selection activeCell="D14" sqref="D14"/>
    </sheetView>
  </sheetViews>
  <sheetFormatPr baseColWidth="10" defaultRowHeight="15.75" x14ac:dyDescent="0.25"/>
  <cols>
    <col min="2" max="2" width="18" customWidth="1"/>
    <col min="3" max="3" width="17.75" bestFit="1" customWidth="1"/>
    <col min="4" max="4" width="12.375" bestFit="1" customWidth="1"/>
    <col min="5" max="5" width="16.125" bestFit="1" customWidth="1"/>
    <col min="6" max="6" width="18.375" bestFit="1" customWidth="1"/>
    <col min="7" max="7" width="16" customWidth="1"/>
    <col min="8" max="8" width="16.5" bestFit="1" customWidth="1"/>
    <col min="9" max="9" width="14.375" bestFit="1" customWidth="1"/>
  </cols>
  <sheetData>
    <row r="1" spans="2:9" x14ac:dyDescent="0.25">
      <c r="C1" s="5" t="s">
        <v>15</v>
      </c>
      <c r="D1" s="6" t="s">
        <v>3</v>
      </c>
      <c r="E1" s="6" t="s">
        <v>7</v>
      </c>
      <c r="F1" s="6" t="s">
        <v>13</v>
      </c>
      <c r="G1" s="6" t="s">
        <v>14</v>
      </c>
      <c r="H1" s="6" t="s">
        <v>10</v>
      </c>
      <c r="I1" s="7" t="s">
        <v>0</v>
      </c>
    </row>
    <row r="2" spans="2:9" x14ac:dyDescent="0.25">
      <c r="C2" s="8" t="s">
        <v>1</v>
      </c>
      <c r="D2" s="9">
        <v>0</v>
      </c>
      <c r="E2" s="9">
        <v>0</v>
      </c>
      <c r="F2" s="9">
        <v>743393.87</v>
      </c>
      <c r="G2" s="9">
        <v>0</v>
      </c>
      <c r="H2" s="9">
        <v>39630.17</v>
      </c>
      <c r="I2" s="10">
        <v>3244748.56</v>
      </c>
    </row>
    <row r="3" spans="2:9" x14ac:dyDescent="0.25">
      <c r="C3" s="8" t="s">
        <v>12</v>
      </c>
      <c r="D3" s="9">
        <v>111218.8</v>
      </c>
      <c r="E3" s="9">
        <v>0</v>
      </c>
      <c r="F3" s="9">
        <v>42175.58</v>
      </c>
      <c r="G3" s="9">
        <v>262362.71999999997</v>
      </c>
      <c r="H3" s="9">
        <f>53615.77+40536.05+34709.1</f>
        <v>128860.92000000001</v>
      </c>
      <c r="I3" s="10">
        <v>2783063.21</v>
      </c>
    </row>
    <row r="4" spans="2:9" x14ac:dyDescent="0.25">
      <c r="C4" s="8"/>
      <c r="D4" s="9"/>
      <c r="E4" s="9"/>
      <c r="F4" s="9"/>
      <c r="G4" s="9"/>
      <c r="H4" s="9"/>
      <c r="I4" s="10"/>
    </row>
    <row r="5" spans="2:9" ht="31.5" x14ac:dyDescent="0.25">
      <c r="B5" s="1" t="s">
        <v>2</v>
      </c>
      <c r="C5" s="8" t="s">
        <v>12</v>
      </c>
      <c r="D5" s="9">
        <f>D3*$I$2/$I3</f>
        <v>129669.00638413026</v>
      </c>
      <c r="E5" s="9">
        <f>(E3-E2)*$I$2/$I3</f>
        <v>0</v>
      </c>
      <c r="F5" s="9">
        <f>(F3)*$I$2/$I3</f>
        <v>49172.132339805823</v>
      </c>
      <c r="G5" s="9">
        <f>(G3)*$I$2/$I3</f>
        <v>305886.35387756181</v>
      </c>
      <c r="H5" s="9">
        <f>(H3)*$I$2/$I3</f>
        <v>150237.79665079014</v>
      </c>
      <c r="I5" s="10">
        <f>I3*$I$2/$I3</f>
        <v>3244748.5600000005</v>
      </c>
    </row>
    <row r="6" spans="2:9" x14ac:dyDescent="0.25">
      <c r="C6" s="11"/>
      <c r="D6" s="9"/>
      <c r="E6" s="9"/>
      <c r="F6" s="9"/>
      <c r="G6" s="9"/>
      <c r="H6" s="9"/>
      <c r="I6" s="10"/>
    </row>
    <row r="7" spans="2:9" x14ac:dyDescent="0.25">
      <c r="C7" s="11"/>
      <c r="D7" s="9" t="s">
        <v>4</v>
      </c>
      <c r="E7" s="9" t="s">
        <v>8</v>
      </c>
      <c r="F7" s="9" t="s">
        <v>5</v>
      </c>
      <c r="G7" s="9" t="s">
        <v>9</v>
      </c>
      <c r="H7" s="9" t="s">
        <v>11</v>
      </c>
      <c r="I7" s="10" t="s">
        <v>6</v>
      </c>
    </row>
    <row r="8" spans="2:9" x14ac:dyDescent="0.25">
      <c r="C8" s="12" t="s">
        <v>12</v>
      </c>
      <c r="D8" s="13">
        <f t="shared" ref="D8:H8" si="0">D5/$F$2</f>
        <v>0.17442840413000751</v>
      </c>
      <c r="E8" s="13">
        <f t="shared" si="0"/>
        <v>0</v>
      </c>
      <c r="F8" s="13">
        <f t="shared" si="0"/>
        <v>6.6145463830372758E-2</v>
      </c>
      <c r="G8" s="13">
        <f t="shared" si="0"/>
        <v>0.41147279554183275</v>
      </c>
      <c r="H8" s="13">
        <f t="shared" si="0"/>
        <v>0.20209716909663264</v>
      </c>
      <c r="I8" s="14">
        <f>1-SUM(D8:H8)</f>
        <v>0.14585616740115426</v>
      </c>
    </row>
    <row r="10" spans="2:9" x14ac:dyDescent="0.25">
      <c r="D10" s="4"/>
      <c r="E10" s="4"/>
      <c r="F10" s="4"/>
      <c r="G10" s="4"/>
      <c r="H10" s="4"/>
      <c r="I10" s="4"/>
    </row>
    <row r="11" spans="2:9" x14ac:dyDescent="0.25">
      <c r="C11" s="5" t="s">
        <v>16</v>
      </c>
      <c r="D11" s="6" t="s">
        <v>3</v>
      </c>
      <c r="E11" s="6" t="s">
        <v>7</v>
      </c>
      <c r="F11" s="6" t="s">
        <v>13</v>
      </c>
      <c r="G11" s="6" t="s">
        <v>14</v>
      </c>
      <c r="H11" s="6" t="s">
        <v>10</v>
      </c>
      <c r="I11" s="7" t="s">
        <v>0</v>
      </c>
    </row>
    <row r="12" spans="2:9" x14ac:dyDescent="0.25">
      <c r="C12" s="8" t="s">
        <v>1</v>
      </c>
      <c r="D12" s="9">
        <v>0</v>
      </c>
      <c r="E12" s="9">
        <v>0</v>
      </c>
      <c r="F12" s="9">
        <v>769865.25</v>
      </c>
      <c r="G12" s="9">
        <v>0</v>
      </c>
      <c r="H12" s="9">
        <v>32368.48</v>
      </c>
      <c r="I12" s="10">
        <v>2115721.63</v>
      </c>
    </row>
    <row r="13" spans="2:9" x14ac:dyDescent="0.25">
      <c r="C13" s="8" t="s">
        <v>12</v>
      </c>
      <c r="D13" s="9">
        <v>0</v>
      </c>
      <c r="E13" s="9">
        <v>0</v>
      </c>
      <c r="F13" s="9">
        <v>761449.75</v>
      </c>
      <c r="G13" s="9">
        <v>0</v>
      </c>
      <c r="H13" s="9">
        <v>28396.22</v>
      </c>
      <c r="I13" s="10">
        <v>2374605.62</v>
      </c>
    </row>
    <row r="14" spans="2:9" x14ac:dyDescent="0.25">
      <c r="C14" s="8"/>
      <c r="D14" s="9"/>
      <c r="E14" s="9"/>
      <c r="F14" s="9"/>
      <c r="G14" s="9"/>
      <c r="H14" s="9"/>
      <c r="I14" s="10"/>
    </row>
    <row r="15" spans="2:9" x14ac:dyDescent="0.25">
      <c r="C15" s="8" t="s">
        <v>12</v>
      </c>
      <c r="D15" s="9">
        <f t="shared" ref="D15:G15" si="1">(D13)*$I12/$I13</f>
        <v>0</v>
      </c>
      <c r="E15" s="9">
        <f t="shared" si="1"/>
        <v>0</v>
      </c>
      <c r="F15" s="9">
        <f t="shared" si="1"/>
        <v>678435.05997980933</v>
      </c>
      <c r="G15" s="9">
        <f t="shared" si="1"/>
        <v>0</v>
      </c>
      <c r="H15" s="9">
        <f>(H13)*$I12/$I13</f>
        <v>25300.410458995964</v>
      </c>
      <c r="I15" s="10">
        <f>I13*$I12/$I13</f>
        <v>2115721.63</v>
      </c>
    </row>
    <row r="16" spans="2:9" x14ac:dyDescent="0.25">
      <c r="C16" s="11"/>
      <c r="D16" s="9"/>
      <c r="E16" s="9"/>
      <c r="F16" s="9"/>
      <c r="G16" s="9"/>
      <c r="H16" s="9"/>
      <c r="I16" s="10"/>
    </row>
    <row r="17" spans="3:9" x14ac:dyDescent="0.25">
      <c r="C17" s="11"/>
      <c r="D17" s="9" t="s">
        <v>4</v>
      </c>
      <c r="E17" s="9" t="s">
        <v>8</v>
      </c>
      <c r="F17" s="9" t="s">
        <v>5</v>
      </c>
      <c r="G17" s="9" t="s">
        <v>9</v>
      </c>
      <c r="H17" s="9" t="s">
        <v>11</v>
      </c>
      <c r="I17" s="10" t="s">
        <v>6</v>
      </c>
    </row>
    <row r="18" spans="3:9" x14ac:dyDescent="0.25">
      <c r="C18" s="12" t="s">
        <v>12</v>
      </c>
      <c r="D18" s="13">
        <f>D15/$F12</f>
        <v>0</v>
      </c>
      <c r="E18" s="13">
        <f t="shared" ref="E18:H18" si="2">E15/$F12</f>
        <v>0</v>
      </c>
      <c r="F18" s="13">
        <f t="shared" si="2"/>
        <v>0.88123871025456646</v>
      </c>
      <c r="G18" s="13">
        <f t="shared" si="2"/>
        <v>0</v>
      </c>
      <c r="H18" s="13">
        <f t="shared" si="2"/>
        <v>3.2863427020502566E-2</v>
      </c>
      <c r="I18" s="14">
        <f>1-SUM(D18:H18)</f>
        <v>8.589786272493094E-2</v>
      </c>
    </row>
    <row r="49" spans="14:14" x14ac:dyDescent="0.25">
      <c r="N49" s="2"/>
    </row>
    <row r="50" spans="14:14" x14ac:dyDescent="0.25">
      <c r="N50" s="2"/>
    </row>
    <row r="51" spans="14:14" x14ac:dyDescent="0.25">
      <c r="N51" s="2"/>
    </row>
    <row r="52" spans="14:14" x14ac:dyDescent="0.25">
      <c r="N52" s="2"/>
    </row>
    <row r="53" spans="14:14" x14ac:dyDescent="0.25">
      <c r="N53" s="2"/>
    </row>
    <row r="54" spans="14:14" x14ac:dyDescent="0.25">
      <c r="N54" s="2"/>
    </row>
    <row r="55" spans="14:14" x14ac:dyDescent="0.25">
      <c r="N55" s="2"/>
    </row>
    <row r="56" spans="14:14" x14ac:dyDescent="0.25">
      <c r="N56" s="2"/>
    </row>
    <row r="57" spans="14:14" x14ac:dyDescent="0.25">
      <c r="N57" s="2"/>
    </row>
    <row r="58" spans="14:14" x14ac:dyDescent="0.25">
      <c r="N58" s="2"/>
    </row>
    <row r="59" spans="14:14" x14ac:dyDescent="0.25">
      <c r="N59" s="2"/>
    </row>
    <row r="60" spans="14:14" x14ac:dyDescent="0.25">
      <c r="N60" s="2"/>
    </row>
    <row r="61" spans="14:14" x14ac:dyDescent="0.25">
      <c r="N61" s="2"/>
    </row>
    <row r="62" spans="14:14" x14ac:dyDescent="0.25">
      <c r="N62" s="2"/>
    </row>
    <row r="63" spans="14:14" x14ac:dyDescent="0.25">
      <c r="N63" s="2"/>
    </row>
    <row r="64" spans="14:14" x14ac:dyDescent="0.25">
      <c r="N64" s="2"/>
    </row>
    <row r="65" spans="14:14" x14ac:dyDescent="0.25">
      <c r="N65" s="2"/>
    </row>
    <row r="66" spans="14:14" x14ac:dyDescent="0.25">
      <c r="N66" s="2"/>
    </row>
    <row r="67" spans="14:14" x14ac:dyDescent="0.25">
      <c r="N67" s="2"/>
    </row>
    <row r="68" spans="14:14" x14ac:dyDescent="0.25">
      <c r="N68" s="2"/>
    </row>
    <row r="69" spans="14:14" x14ac:dyDescent="0.25">
      <c r="N69" s="2"/>
    </row>
    <row r="70" spans="14:14" x14ac:dyDescent="0.25">
      <c r="N70" s="2"/>
    </row>
    <row r="71" spans="14:14" x14ac:dyDescent="0.25">
      <c r="N71" s="2"/>
    </row>
    <row r="72" spans="14:14" x14ac:dyDescent="0.25">
      <c r="N72" s="2"/>
    </row>
    <row r="73" spans="14:14" x14ac:dyDescent="0.25">
      <c r="N73" s="2"/>
    </row>
    <row r="74" spans="14:14" x14ac:dyDescent="0.25">
      <c r="N74" s="2"/>
    </row>
    <row r="75" spans="14:14" x14ac:dyDescent="0.25">
      <c r="N75" s="2"/>
    </row>
    <row r="76" spans="14:14" x14ac:dyDescent="0.25">
      <c r="N76" s="2"/>
    </row>
    <row r="77" spans="14:14" x14ac:dyDescent="0.25">
      <c r="N77" s="2"/>
    </row>
    <row r="78" spans="14:14" x14ac:dyDescent="0.25">
      <c r="N78" s="2"/>
    </row>
    <row r="79" spans="14:14" x14ac:dyDescent="0.25">
      <c r="N79" s="2"/>
    </row>
    <row r="80" spans="14:14" x14ac:dyDescent="0.25">
      <c r="N80" s="2"/>
    </row>
    <row r="81" spans="14:14" x14ac:dyDescent="0.25">
      <c r="N81" s="2"/>
    </row>
    <row r="82" spans="14:14" x14ac:dyDescent="0.25">
      <c r="N82" s="2"/>
    </row>
    <row r="83" spans="14:14" x14ac:dyDescent="0.25">
      <c r="N83" s="2"/>
    </row>
    <row r="84" spans="14:14" x14ac:dyDescent="0.25">
      <c r="N84" s="2"/>
    </row>
    <row r="85" spans="14:14" x14ac:dyDescent="0.25">
      <c r="N8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2023-08-11T13:07:44Z</dcterms:created>
  <dcterms:modified xsi:type="dcterms:W3CDTF">2025-10-21T07:43:51Z</dcterms:modified>
</cp:coreProperties>
</file>