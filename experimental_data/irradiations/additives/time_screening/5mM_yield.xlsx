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Berechnungen\"/>
    </mc:Choice>
  </mc:AlternateContent>
  <xr:revisionPtr revIDLastSave="0" documentId="8_{D131E9C7-AEB8-4CA4-97F3-029B72F35EF6}" xr6:coauthVersionLast="36" xr6:coauthVersionMax="36" xr10:uidLastSave="{00000000-0000-0000-0000-000000000000}"/>
  <bookViews>
    <workbookView xWindow="0" yWindow="0" windowWidth="28800" windowHeight="13905" xr2:uid="{41A491FD-4B9E-374A-A7E5-31AA742B0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5" i="1"/>
  <c r="H8" i="1" s="1"/>
  <c r="E5" i="1" l="1"/>
  <c r="E8" i="1" s="1"/>
  <c r="F5" i="1"/>
  <c r="G5" i="1"/>
  <c r="G8" i="1" s="1"/>
  <c r="I5" i="1"/>
  <c r="D5" i="1"/>
  <c r="D8" i="1" l="1"/>
  <c r="F8" i="1"/>
  <c r="I8" i="1" l="1"/>
</calcChain>
</file>

<file path=xl/sharedStrings.xml><?xml version="1.0" encoding="utf-8"?>
<sst xmlns="http://schemas.openxmlformats.org/spreadsheetml/2006/main" count="17" uniqueCount="15">
  <si>
    <t>0 ppm</t>
  </si>
  <si>
    <t>Before</t>
  </si>
  <si>
    <t>Adjusted to inten-sitiy before at 0 ppm</t>
  </si>
  <si>
    <t>66 ppm</t>
  </si>
  <si>
    <t>90 ppm</t>
  </si>
  <si>
    <t>Yield hydride</t>
  </si>
  <si>
    <t>Unreacted susbstrate</t>
  </si>
  <si>
    <t>Other stuff</t>
  </si>
  <si>
    <t>81.8 ppm</t>
  </si>
  <si>
    <t>56.8 ppm</t>
  </si>
  <si>
    <t>Yield trans hydride</t>
  </si>
  <si>
    <t>Main side prod</t>
  </si>
  <si>
    <t>Other signals</t>
  </si>
  <si>
    <t>Other sideproducts</t>
  </si>
  <si>
    <t>After 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</si>
</sst>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N93"/>
  <sheetViews>
    <sheetView tabSelected="1" workbookViewId="0">
      <selection activeCell="G4" sqref="G4"/>
    </sheetView>
  </sheetViews>
  <sheetFormatPr baseColWidth="10" defaultRowHeight="15.75" x14ac:dyDescent="0.25"/>
  <cols>
    <col min="2" max="2" width="18" customWidth="1"/>
    <col min="3" max="3" width="17.75" bestFit="1" customWidth="1"/>
    <col min="4" max="4" width="11.375" bestFit="1" customWidth="1"/>
    <col min="5" max="5" width="16.125" bestFit="1" customWidth="1"/>
    <col min="6" max="6" width="18.375" bestFit="1" customWidth="1"/>
    <col min="7" max="7" width="13" bestFit="1" customWidth="1"/>
    <col min="8" max="8" width="16.5" bestFit="1" customWidth="1"/>
    <col min="9" max="9" width="11.375" bestFit="1" customWidth="1"/>
  </cols>
  <sheetData>
    <row r="1" spans="2:9" x14ac:dyDescent="0.25">
      <c r="D1" t="s">
        <v>4</v>
      </c>
      <c r="E1" t="s">
        <v>8</v>
      </c>
      <c r="F1" t="s">
        <v>3</v>
      </c>
      <c r="G1" t="s">
        <v>9</v>
      </c>
      <c r="H1" t="s">
        <v>12</v>
      </c>
      <c r="I1" t="s">
        <v>0</v>
      </c>
    </row>
    <row r="2" spans="2:9" x14ac:dyDescent="0.25">
      <c r="C2" t="s">
        <v>1</v>
      </c>
      <c r="D2" s="4">
        <v>0</v>
      </c>
      <c r="E2" s="4">
        <v>0</v>
      </c>
      <c r="F2" s="4">
        <v>1833145.71</v>
      </c>
      <c r="G2" s="4">
        <v>0</v>
      </c>
      <c r="H2" s="4">
        <v>0</v>
      </c>
      <c r="I2" s="4">
        <v>11655751.689999999</v>
      </c>
    </row>
    <row r="3" spans="2:9" x14ac:dyDescent="0.25">
      <c r="C3" t="s">
        <v>14</v>
      </c>
      <c r="D3" s="4">
        <v>353283.43</v>
      </c>
      <c r="E3" s="4">
        <v>51531.48</v>
      </c>
      <c r="F3" s="4">
        <v>365047.89</v>
      </c>
      <c r="G3" s="4">
        <v>635345.55000000005</v>
      </c>
      <c r="H3" s="4">
        <f>38101.14+65398.96+36923.18</f>
        <v>140423.28</v>
      </c>
      <c r="I3" s="4">
        <v>10054976.32</v>
      </c>
    </row>
    <row r="4" spans="2:9" x14ac:dyDescent="0.25">
      <c r="D4" s="4"/>
      <c r="E4" s="4"/>
      <c r="F4" s="4"/>
      <c r="G4" s="4"/>
      <c r="H4" s="4"/>
      <c r="I4" s="4"/>
    </row>
    <row r="5" spans="2:9" ht="31.5" x14ac:dyDescent="0.25">
      <c r="B5" s="1" t="s">
        <v>2</v>
      </c>
      <c r="C5" t="s">
        <v>14</v>
      </c>
      <c r="D5" s="4">
        <f>D3*$I$2/$I3</f>
        <v>409526.96507906809</v>
      </c>
      <c r="E5" s="4">
        <f t="shared" ref="E5:I5" si="0">E3*$I$2/$I3</f>
        <v>59735.410207132256</v>
      </c>
      <c r="F5" s="4">
        <f t="shared" si="0"/>
        <v>423164.35418501653</v>
      </c>
      <c r="G5" s="4">
        <f t="shared" si="0"/>
        <v>736494.02370213426</v>
      </c>
      <c r="H5" s="4">
        <f t="shared" ref="H5" si="1">H3*$I$2/$I3</f>
        <v>162778.9893368285</v>
      </c>
      <c r="I5" s="4">
        <f t="shared" si="0"/>
        <v>11655751.689999999</v>
      </c>
    </row>
    <row r="6" spans="2:9" x14ac:dyDescent="0.25">
      <c r="C6" s="1"/>
      <c r="D6" s="4"/>
      <c r="E6" s="4"/>
      <c r="F6" s="4"/>
      <c r="G6" s="4"/>
      <c r="H6" s="4"/>
      <c r="I6" s="4"/>
    </row>
    <row r="7" spans="2:9" x14ac:dyDescent="0.25">
      <c r="C7" s="1"/>
      <c r="D7" s="4" t="s">
        <v>5</v>
      </c>
      <c r="E7" s="4" t="s">
        <v>10</v>
      </c>
      <c r="F7" s="4" t="s">
        <v>6</v>
      </c>
      <c r="G7" s="4" t="s">
        <v>11</v>
      </c>
      <c r="H7" s="4" t="s">
        <v>13</v>
      </c>
      <c r="I7" s="4" t="s">
        <v>7</v>
      </c>
    </row>
    <row r="8" spans="2:9" x14ac:dyDescent="0.25">
      <c r="C8" t="s">
        <v>14</v>
      </c>
      <c r="D8" s="4">
        <f>D5/$F$2</f>
        <v>0.22340120746815489</v>
      </c>
      <c r="E8" s="4">
        <f>E5/$F$2</f>
        <v>3.2586285902571406E-2</v>
      </c>
      <c r="F8" s="4">
        <f>F5/$F$2</f>
        <v>0.23084054468589763</v>
      </c>
      <c r="G8" s="4">
        <f>G5/$F$2</f>
        <v>0.40176512957179727</v>
      </c>
      <c r="H8" s="4">
        <f>H5/$F$2</f>
        <v>8.8797627187436459E-2</v>
      </c>
      <c r="I8" s="4">
        <f>1-SUM(D8:G8)</f>
        <v>0.11140683237157889</v>
      </c>
    </row>
    <row r="11" spans="2:9" x14ac:dyDescent="0.25">
      <c r="D11" s="4"/>
      <c r="E11" s="4"/>
      <c r="F11" s="4"/>
      <c r="G11" s="4"/>
      <c r="H11" s="4"/>
      <c r="I11" s="4"/>
    </row>
    <row r="12" spans="2:9" x14ac:dyDescent="0.25">
      <c r="D12" s="4"/>
      <c r="E12" s="4"/>
      <c r="F12" s="4"/>
      <c r="G12" s="4"/>
      <c r="H12" s="4"/>
      <c r="I12" s="4"/>
    </row>
    <row r="13" spans="2:9" x14ac:dyDescent="0.25">
      <c r="D13" s="4"/>
      <c r="E13" s="4"/>
      <c r="F13" s="4"/>
      <c r="G13" s="4"/>
      <c r="H13" s="4"/>
      <c r="I13" s="5"/>
    </row>
    <row r="14" spans="2:9" x14ac:dyDescent="0.25">
      <c r="C14" s="1"/>
      <c r="D14" s="1"/>
      <c r="E14" s="1"/>
      <c r="F14" s="4"/>
      <c r="G14" s="4"/>
      <c r="H14" s="4"/>
      <c r="I14" s="5"/>
    </row>
    <row r="15" spans="2:9" x14ac:dyDescent="0.25">
      <c r="D15" s="4"/>
      <c r="E15" s="4"/>
      <c r="F15" s="4"/>
      <c r="G15" s="4"/>
      <c r="H15" s="4"/>
      <c r="I15" s="4"/>
    </row>
    <row r="16" spans="2:9" x14ac:dyDescent="0.25">
      <c r="D16" s="4"/>
      <c r="E16" s="4"/>
      <c r="F16" s="4"/>
      <c r="G16" s="4"/>
      <c r="H16" s="4"/>
      <c r="I16" s="5"/>
    </row>
    <row r="17" spans="4:9" x14ac:dyDescent="0.25">
      <c r="D17" s="1"/>
      <c r="E17" s="1"/>
      <c r="F17" s="4"/>
      <c r="G17" s="4"/>
      <c r="H17" s="4"/>
      <c r="I17" s="5"/>
    </row>
    <row r="57" spans="14:14" x14ac:dyDescent="0.25">
      <c r="N57" s="2"/>
    </row>
    <row r="58" spans="14:14" x14ac:dyDescent="0.25">
      <c r="N58" s="2"/>
    </row>
    <row r="59" spans="14:14" x14ac:dyDescent="0.25">
      <c r="N59" s="2"/>
    </row>
    <row r="60" spans="14:14" x14ac:dyDescent="0.25">
      <c r="N60" s="2"/>
    </row>
    <row r="61" spans="14:14" x14ac:dyDescent="0.25">
      <c r="N61" s="2"/>
    </row>
    <row r="62" spans="14:14" x14ac:dyDescent="0.25">
      <c r="N62" s="2"/>
    </row>
    <row r="63" spans="14:14" x14ac:dyDescent="0.25">
      <c r="N63" s="2"/>
    </row>
    <row r="64" spans="14:14" x14ac:dyDescent="0.25">
      <c r="N64" s="2"/>
    </row>
    <row r="65" spans="14:14" x14ac:dyDescent="0.25">
      <c r="N65" s="2"/>
    </row>
    <row r="66" spans="14:14" x14ac:dyDescent="0.25">
      <c r="N66" s="2"/>
    </row>
    <row r="67" spans="14:14" x14ac:dyDescent="0.25">
      <c r="N67" s="2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2"/>
    </row>
    <row r="86" spans="14:14" x14ac:dyDescent="0.25">
      <c r="N86" s="2"/>
    </row>
    <row r="87" spans="14:14" x14ac:dyDescent="0.25">
      <c r="N87" s="2"/>
    </row>
    <row r="88" spans="14:14" x14ac:dyDescent="0.25">
      <c r="N88" s="2"/>
    </row>
    <row r="89" spans="14:14" x14ac:dyDescent="0.25">
      <c r="N89" s="2"/>
    </row>
    <row r="90" spans="14:14" x14ac:dyDescent="0.25">
      <c r="N90" s="2"/>
    </row>
    <row r="91" spans="14:14" x14ac:dyDescent="0.25">
      <c r="N91" s="2"/>
    </row>
    <row r="92" spans="14:14" x14ac:dyDescent="0.25">
      <c r="N92" s="2"/>
    </row>
    <row r="93" spans="14:14" x14ac:dyDescent="0.25">
      <c r="N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2024-10-25T07:15:32Z</dcterms:modified>
</cp:coreProperties>
</file>