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86hug\Desktop\Berechnungen\"/>
    </mc:Choice>
  </mc:AlternateContent>
  <xr:revisionPtr revIDLastSave="0" documentId="13_ncr:1_{23D2E30B-C681-4FE2-9852-CDF0D1A89C51}" xr6:coauthVersionLast="36" xr6:coauthVersionMax="36" xr10:uidLastSave="{00000000-0000-0000-0000-000000000000}"/>
  <bookViews>
    <workbookView xWindow="0" yWindow="0" windowWidth="21570" windowHeight="8790" xr2:uid="{41A491FD-4B9E-374A-A7E5-31AA742B0A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F14" i="1"/>
  <c r="E15" i="1"/>
  <c r="E14" i="1"/>
  <c r="D15" i="1"/>
  <c r="D14" i="1"/>
  <c r="D9" i="1"/>
  <c r="E9" i="1"/>
  <c r="F9" i="1"/>
  <c r="D10" i="1"/>
  <c r="D16" i="1" s="1"/>
  <c r="E10" i="1"/>
  <c r="E16" i="1" s="1"/>
  <c r="F10" i="1"/>
  <c r="D11" i="1"/>
  <c r="D17" i="1" s="1"/>
  <c r="E11" i="1"/>
  <c r="E17" i="1" s="1"/>
  <c r="F11" i="1"/>
  <c r="F8" i="1"/>
  <c r="E8" i="1"/>
  <c r="D8" i="1"/>
  <c r="F17" i="1" l="1"/>
  <c r="F16" i="1"/>
</calcChain>
</file>

<file path=xl/sharedStrings.xml><?xml version="1.0" encoding="utf-8"?>
<sst xmlns="http://schemas.openxmlformats.org/spreadsheetml/2006/main" count="20" uniqueCount="12">
  <si>
    <t>0 ppm</t>
  </si>
  <si>
    <t>Before</t>
  </si>
  <si>
    <t>Adjusted to inten-sitiy before at 0 ppm</t>
  </si>
  <si>
    <t>After 1 h</t>
  </si>
  <si>
    <t>After 3 h</t>
  </si>
  <si>
    <t>After 5 h</t>
  </si>
  <si>
    <t>After 7 h</t>
  </si>
  <si>
    <t>66 ppm</t>
  </si>
  <si>
    <t>90 ppm</t>
  </si>
  <si>
    <t>Yield hydride</t>
  </si>
  <si>
    <t>Unreacted susbstrate</t>
  </si>
  <si>
    <t>Other stuff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</si>
</sst>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  <xf numFmtId="2" fontId="0" fillId="0" borderId="0" xfId="0" applyNumberFormat="1"/>
    <xf numFmtId="10" fontId="0" fillId="0" borderId="0" xfId="1" applyNumberFormat="1" applyFont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65D9-697E-0E4A-8B54-161E002639E6}">
  <dimension ref="B1:K102"/>
  <sheetViews>
    <sheetView tabSelected="1" workbookViewId="0">
      <selection activeCell="F24" sqref="F24"/>
    </sheetView>
  </sheetViews>
  <sheetFormatPr baseColWidth="10" defaultRowHeight="15.75" x14ac:dyDescent="0.25"/>
  <cols>
    <col min="2" max="2" width="16.375" customWidth="1"/>
    <col min="3" max="3" width="17.75" bestFit="1" customWidth="1"/>
    <col min="6" max="6" width="11.375" bestFit="1" customWidth="1"/>
  </cols>
  <sheetData>
    <row r="1" spans="2:6" x14ac:dyDescent="0.25">
      <c r="D1" t="s">
        <v>8</v>
      </c>
      <c r="E1" t="s">
        <v>7</v>
      </c>
      <c r="F1" t="s">
        <v>0</v>
      </c>
    </row>
    <row r="2" spans="2:6" x14ac:dyDescent="0.25">
      <c r="C2" t="s">
        <v>1</v>
      </c>
      <c r="D2" s="4">
        <v>0</v>
      </c>
      <c r="E2" s="4">
        <v>1411549.33</v>
      </c>
      <c r="F2" s="4">
        <v>17281321.780000001</v>
      </c>
    </row>
    <row r="3" spans="2:6" x14ac:dyDescent="0.25">
      <c r="C3" t="s">
        <v>3</v>
      </c>
      <c r="D3" s="4">
        <v>62747.46</v>
      </c>
      <c r="E3" s="4">
        <v>992392.26</v>
      </c>
      <c r="F3" s="4">
        <v>17496003.030000001</v>
      </c>
    </row>
    <row r="4" spans="2:6" x14ac:dyDescent="0.25">
      <c r="C4" t="s">
        <v>4</v>
      </c>
      <c r="D4" s="4">
        <v>230399.91</v>
      </c>
      <c r="E4" s="4">
        <v>305091.62</v>
      </c>
      <c r="F4" s="4">
        <v>15996131.58</v>
      </c>
    </row>
    <row r="5" spans="2:6" x14ac:dyDescent="0.25">
      <c r="C5" t="s">
        <v>5</v>
      </c>
      <c r="D5" s="4">
        <v>366297.63</v>
      </c>
      <c r="E5" s="4">
        <v>0</v>
      </c>
      <c r="F5" s="4">
        <v>17533702.010000002</v>
      </c>
    </row>
    <row r="6" spans="2:6" x14ac:dyDescent="0.25">
      <c r="C6" t="s">
        <v>6</v>
      </c>
      <c r="D6" s="4">
        <v>343237.5</v>
      </c>
      <c r="E6" s="4">
        <v>0</v>
      </c>
      <c r="F6" s="4">
        <v>15291720.109999999</v>
      </c>
    </row>
    <row r="7" spans="2:6" x14ac:dyDescent="0.25">
      <c r="D7" s="4"/>
      <c r="E7" s="4"/>
      <c r="F7" s="4"/>
    </row>
    <row r="8" spans="2:6" ht="47.25" x14ac:dyDescent="0.25">
      <c r="B8" s="1" t="s">
        <v>2</v>
      </c>
      <c r="C8" t="s">
        <v>3</v>
      </c>
      <c r="D8" s="4">
        <f>D3*$F$2/F3</f>
        <v>61977.529683685629</v>
      </c>
      <c r="E8" s="4">
        <f>E3*$F$2/F3</f>
        <v>980215.30675520364</v>
      </c>
      <c r="F8" s="4">
        <f>F3*$F$2/F3</f>
        <v>17281321.780000001</v>
      </c>
    </row>
    <row r="9" spans="2:6" x14ac:dyDescent="0.25">
      <c r="C9" t="s">
        <v>4</v>
      </c>
      <c r="D9" s="4">
        <f t="shared" ref="D9:D11" si="0">D4*$F$2/F4</f>
        <v>248911.11722107002</v>
      </c>
      <c r="E9" s="4">
        <f t="shared" ref="E9:E11" si="1">E4*$F$2/F4</f>
        <v>329603.84398147615</v>
      </c>
      <c r="F9" s="4">
        <f t="shared" ref="F9:F11" si="2">F4*$F$2/F4</f>
        <v>17281321.780000001</v>
      </c>
    </row>
    <row r="10" spans="2:6" x14ac:dyDescent="0.25">
      <c r="C10" t="s">
        <v>5</v>
      </c>
      <c r="D10" s="4">
        <f t="shared" si="0"/>
        <v>361025.13933857949</v>
      </c>
      <c r="E10" s="4">
        <f t="shared" si="1"/>
        <v>0</v>
      </c>
      <c r="F10" s="4">
        <f t="shared" si="2"/>
        <v>17281321.780000001</v>
      </c>
    </row>
    <row r="11" spans="2:6" x14ac:dyDescent="0.25">
      <c r="C11" t="s">
        <v>6</v>
      </c>
      <c r="D11" s="4">
        <f t="shared" si="0"/>
        <v>387896.04058890603</v>
      </c>
      <c r="E11" s="4">
        <f t="shared" si="1"/>
        <v>0</v>
      </c>
      <c r="F11" s="4">
        <f t="shared" si="2"/>
        <v>17281321.780000001</v>
      </c>
    </row>
    <row r="12" spans="2:6" x14ac:dyDescent="0.25">
      <c r="C12" s="1"/>
      <c r="D12" s="4"/>
      <c r="E12" s="4"/>
      <c r="F12" s="4"/>
    </row>
    <row r="13" spans="2:6" x14ac:dyDescent="0.25">
      <c r="C13" s="1"/>
      <c r="D13" s="4" t="s">
        <v>9</v>
      </c>
      <c r="E13" s="4" t="s">
        <v>10</v>
      </c>
      <c r="F13" s="4" t="s">
        <v>11</v>
      </c>
    </row>
    <row r="14" spans="2:6" x14ac:dyDescent="0.25">
      <c r="C14" t="s">
        <v>3</v>
      </c>
      <c r="D14" s="4">
        <f>D8/$E$2</f>
        <v>4.3907448621498493E-2</v>
      </c>
      <c r="E14" s="4">
        <f>E8/$E$2</f>
        <v>0.69442511566719645</v>
      </c>
      <c r="F14" s="4">
        <f>1-E14-D14</f>
        <v>0.26166743571130507</v>
      </c>
    </row>
    <row r="15" spans="2:6" x14ac:dyDescent="0.25">
      <c r="C15" t="s">
        <v>4</v>
      </c>
      <c r="D15" s="4">
        <f t="shared" ref="D15:E17" si="3">D9/$E$2</f>
        <v>0.17633894326673655</v>
      </c>
      <c r="E15" s="4">
        <f t="shared" si="3"/>
        <v>0.23350501252512099</v>
      </c>
      <c r="F15" s="4">
        <f t="shared" ref="F15:F17" si="4">1-E15-D15</f>
        <v>0.59015604420814238</v>
      </c>
    </row>
    <row r="16" spans="2:6" x14ac:dyDescent="0.25">
      <c r="C16" t="s">
        <v>5</v>
      </c>
      <c r="D16" s="4">
        <f t="shared" si="3"/>
        <v>0.25576515936469574</v>
      </c>
      <c r="E16" s="4">
        <f t="shared" si="3"/>
        <v>0</v>
      </c>
      <c r="F16" s="4">
        <f t="shared" si="4"/>
        <v>0.74423484063530432</v>
      </c>
    </row>
    <row r="17" spans="3:6" x14ac:dyDescent="0.25">
      <c r="C17" t="s">
        <v>6</v>
      </c>
      <c r="D17" s="4">
        <f t="shared" si="3"/>
        <v>0.27480161857956886</v>
      </c>
      <c r="E17" s="4">
        <f t="shared" si="3"/>
        <v>0</v>
      </c>
      <c r="F17" s="4">
        <f t="shared" si="4"/>
        <v>0.72519838142043114</v>
      </c>
    </row>
    <row r="20" spans="3:6" x14ac:dyDescent="0.25">
      <c r="D20" s="4"/>
      <c r="E20" s="4"/>
      <c r="F20" s="4"/>
    </row>
    <row r="21" spans="3:6" x14ac:dyDescent="0.25">
      <c r="D21" s="4"/>
      <c r="E21" s="4"/>
      <c r="F21" s="4"/>
    </row>
    <row r="22" spans="3:6" x14ac:dyDescent="0.25">
      <c r="D22" s="4"/>
      <c r="E22" s="4"/>
      <c r="F22" s="5"/>
    </row>
    <row r="23" spans="3:6" x14ac:dyDescent="0.25">
      <c r="C23" s="1"/>
      <c r="D23" s="1"/>
      <c r="E23" s="4"/>
      <c r="F23" s="5"/>
    </row>
    <row r="24" spans="3:6" x14ac:dyDescent="0.25">
      <c r="D24" s="4"/>
      <c r="E24" s="4"/>
      <c r="F24" s="4"/>
    </row>
    <row r="25" spans="3:6" x14ac:dyDescent="0.25">
      <c r="D25" s="4"/>
      <c r="E25" s="4"/>
      <c r="F25" s="5"/>
    </row>
    <row r="26" spans="3:6" x14ac:dyDescent="0.25">
      <c r="D26" s="1"/>
      <c r="E26" s="4"/>
      <c r="F26" s="5"/>
    </row>
    <row r="66" spans="11:11" x14ac:dyDescent="0.25">
      <c r="K66" s="2"/>
    </row>
    <row r="67" spans="11:11" x14ac:dyDescent="0.25">
      <c r="K67" s="2"/>
    </row>
    <row r="68" spans="11:11" x14ac:dyDescent="0.25">
      <c r="K68" s="2"/>
    </row>
    <row r="69" spans="11:11" x14ac:dyDescent="0.25">
      <c r="K69" s="2"/>
    </row>
    <row r="70" spans="11:11" x14ac:dyDescent="0.25">
      <c r="K70" s="2"/>
    </row>
    <row r="71" spans="11:11" x14ac:dyDescent="0.25">
      <c r="K71" s="2"/>
    </row>
    <row r="72" spans="11:11" x14ac:dyDescent="0.25">
      <c r="K72" s="2"/>
    </row>
    <row r="73" spans="11:11" x14ac:dyDescent="0.25">
      <c r="K73" s="2"/>
    </row>
    <row r="74" spans="11:11" x14ac:dyDescent="0.25">
      <c r="K74" s="2"/>
    </row>
    <row r="75" spans="11:11" x14ac:dyDescent="0.25">
      <c r="K75" s="2"/>
    </row>
    <row r="76" spans="11:11" x14ac:dyDescent="0.25">
      <c r="K76" s="2"/>
    </row>
    <row r="77" spans="11:11" x14ac:dyDescent="0.25">
      <c r="K77" s="2"/>
    </row>
    <row r="78" spans="11:11" x14ac:dyDescent="0.25">
      <c r="K78" s="2"/>
    </row>
    <row r="79" spans="11:11" x14ac:dyDescent="0.25">
      <c r="K79" s="2"/>
    </row>
    <row r="80" spans="11:11" x14ac:dyDescent="0.25">
      <c r="K80" s="2"/>
    </row>
    <row r="81" spans="11:11" x14ac:dyDescent="0.25">
      <c r="K81" s="2"/>
    </row>
    <row r="82" spans="11:11" x14ac:dyDescent="0.25">
      <c r="K82" s="2"/>
    </row>
    <row r="83" spans="11:11" x14ac:dyDescent="0.25">
      <c r="K83" s="2"/>
    </row>
    <row r="84" spans="11:11" x14ac:dyDescent="0.25">
      <c r="K84" s="2"/>
    </row>
    <row r="85" spans="11:11" x14ac:dyDescent="0.25">
      <c r="K85" s="2"/>
    </row>
    <row r="86" spans="11:11" x14ac:dyDescent="0.25">
      <c r="K86" s="2"/>
    </row>
    <row r="87" spans="11:11" x14ac:dyDescent="0.25">
      <c r="K87" s="2"/>
    </row>
    <row r="88" spans="11:11" x14ac:dyDescent="0.25">
      <c r="K88" s="2"/>
    </row>
    <row r="89" spans="11:11" x14ac:dyDescent="0.25">
      <c r="K89" s="2"/>
    </row>
    <row r="90" spans="11:11" x14ac:dyDescent="0.25">
      <c r="K90" s="2"/>
    </row>
    <row r="91" spans="11:11" x14ac:dyDescent="0.25">
      <c r="K91" s="2"/>
    </row>
    <row r="92" spans="11:11" x14ac:dyDescent="0.25">
      <c r="K92" s="2"/>
    </row>
    <row r="93" spans="11:11" x14ac:dyDescent="0.25">
      <c r="K93" s="2"/>
    </row>
    <row r="94" spans="11:11" x14ac:dyDescent="0.25">
      <c r="K94" s="2"/>
    </row>
    <row r="95" spans="11:11" x14ac:dyDescent="0.25">
      <c r="K95" s="2"/>
    </row>
    <row r="96" spans="11:11" x14ac:dyDescent="0.25">
      <c r="K96" s="2"/>
    </row>
    <row r="97" spans="11:11" x14ac:dyDescent="0.25">
      <c r="K97" s="2"/>
    </row>
    <row r="98" spans="11:11" x14ac:dyDescent="0.25">
      <c r="K98" s="2"/>
    </row>
    <row r="99" spans="11:11" x14ac:dyDescent="0.25">
      <c r="K99" s="2"/>
    </row>
    <row r="100" spans="11:11" x14ac:dyDescent="0.25">
      <c r="K100" s="2"/>
    </row>
    <row r="101" spans="11:11" x14ac:dyDescent="0.25">
      <c r="K101" s="2"/>
    </row>
    <row r="102" spans="11:11" x14ac:dyDescent="0.25"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Schneidewind</dc:creator>
  <cp:lastModifiedBy>Alexander Eith</cp:lastModifiedBy>
  <dcterms:created xsi:type="dcterms:W3CDTF">2023-08-11T13:07:44Z</dcterms:created>
  <dcterms:modified xsi:type="dcterms:W3CDTF">2024-10-08T08:14:29Z</dcterms:modified>
</cp:coreProperties>
</file>