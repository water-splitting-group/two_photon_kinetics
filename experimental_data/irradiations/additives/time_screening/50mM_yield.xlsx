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13_ncr:1_{4485D869-28B9-4B39-A4AF-A853650FB1AE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8" i="1" s="1"/>
  <c r="F5" i="1"/>
  <c r="G5" i="1"/>
  <c r="G8" i="1" s="1"/>
  <c r="H5" i="1"/>
  <c r="D5" i="1"/>
  <c r="D8" i="1" l="1"/>
  <c r="F8" i="1"/>
  <c r="H8" i="1" l="1"/>
</calcChain>
</file>

<file path=xl/sharedStrings.xml><?xml version="1.0" encoding="utf-8"?>
<sst xmlns="http://schemas.openxmlformats.org/spreadsheetml/2006/main" count="15" uniqueCount="13">
  <si>
    <t>0 ppm</t>
  </si>
  <si>
    <t>Before</t>
  </si>
  <si>
    <t>Adjusted to inten-sitiy before at 0 ppm</t>
  </si>
  <si>
    <t>After 7 h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</si>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</sst>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M93"/>
  <sheetViews>
    <sheetView tabSelected="1" workbookViewId="0">
      <selection activeCell="E12" sqref="E12"/>
    </sheetView>
  </sheetViews>
  <sheetFormatPr baseColWidth="10" defaultRowHeight="15.75" x14ac:dyDescent="0.25"/>
  <cols>
    <col min="2" max="2" width="18" customWidth="1"/>
    <col min="3" max="3" width="17.75" bestFit="1" customWidth="1"/>
    <col min="8" max="8" width="11.375" bestFit="1" customWidth="1"/>
  </cols>
  <sheetData>
    <row r="1" spans="2:8" x14ac:dyDescent="0.25">
      <c r="D1" t="s">
        <v>5</v>
      </c>
      <c r="E1" t="s">
        <v>9</v>
      </c>
      <c r="F1" t="s">
        <v>4</v>
      </c>
      <c r="G1" t="s">
        <v>10</v>
      </c>
      <c r="H1" t="s">
        <v>0</v>
      </c>
    </row>
    <row r="2" spans="2:8" x14ac:dyDescent="0.25">
      <c r="C2" t="s">
        <v>1</v>
      </c>
      <c r="D2" s="4">
        <v>0</v>
      </c>
      <c r="E2" s="4">
        <v>0</v>
      </c>
      <c r="F2" s="4">
        <v>1980504.54</v>
      </c>
      <c r="G2" s="4">
        <v>0</v>
      </c>
      <c r="H2" s="4">
        <v>8352234.7199999997</v>
      </c>
    </row>
    <row r="3" spans="2:8" x14ac:dyDescent="0.25">
      <c r="C3" t="s">
        <v>3</v>
      </c>
      <c r="D3" s="4">
        <v>111489.75</v>
      </c>
      <c r="E3" s="4">
        <v>42987.31</v>
      </c>
      <c r="F3" s="4">
        <v>31081.94</v>
      </c>
      <c r="G3" s="4">
        <v>87881.42</v>
      </c>
      <c r="H3" s="4">
        <v>2504772.2200000002</v>
      </c>
    </row>
    <row r="4" spans="2:8" x14ac:dyDescent="0.25">
      <c r="D4" s="4"/>
      <c r="E4" s="4"/>
      <c r="F4" s="4"/>
      <c r="G4" s="4"/>
      <c r="H4" s="4"/>
    </row>
    <row r="5" spans="2:8" ht="31.5" x14ac:dyDescent="0.25">
      <c r="B5" s="1" t="s">
        <v>2</v>
      </c>
      <c r="C5" t="s">
        <v>3</v>
      </c>
      <c r="D5" s="4">
        <f>D3*$H$2/$H3</f>
        <v>371765.76514175802</v>
      </c>
      <c r="E5" s="4">
        <f t="shared" ref="E5:H5" si="0">E3*$H$2/$H3</f>
        <v>143342.41662158133</v>
      </c>
      <c r="F5" s="4">
        <f t="shared" si="0"/>
        <v>103643.61931200147</v>
      </c>
      <c r="G5" s="4">
        <f t="shared" si="0"/>
        <v>293043.1124658921</v>
      </c>
      <c r="H5" s="4">
        <f t="shared" si="0"/>
        <v>8352234.7199999997</v>
      </c>
    </row>
    <row r="6" spans="2:8" x14ac:dyDescent="0.25">
      <c r="C6" s="1"/>
      <c r="D6" s="4"/>
      <c r="E6" s="4"/>
      <c r="F6" s="4"/>
      <c r="G6" s="4"/>
      <c r="H6" s="4"/>
    </row>
    <row r="7" spans="2:8" x14ac:dyDescent="0.25">
      <c r="C7" s="1"/>
      <c r="D7" s="4" t="s">
        <v>6</v>
      </c>
      <c r="E7" s="4" t="s">
        <v>11</v>
      </c>
      <c r="F7" s="4" t="s">
        <v>7</v>
      </c>
      <c r="G7" s="4" t="s">
        <v>12</v>
      </c>
      <c r="H7" s="4" t="s">
        <v>8</v>
      </c>
    </row>
    <row r="8" spans="2:8" x14ac:dyDescent="0.25">
      <c r="C8" t="s">
        <v>3</v>
      </c>
      <c r="D8" s="4">
        <f>D5/$F$2</f>
        <v>0.18771265484791971</v>
      </c>
      <c r="E8" s="4">
        <f>E5/$F$2</f>
        <v>7.2376717006456009E-2</v>
      </c>
      <c r="F8" s="4">
        <f>F5/$F$2</f>
        <v>5.2331927152260635E-2</v>
      </c>
      <c r="G8" s="4">
        <f>G5/$F$2</f>
        <v>0.14796386806863474</v>
      </c>
      <c r="H8" s="4">
        <f>1-SUM(D8:G8)</f>
        <v>0.53961483292472889</v>
      </c>
    </row>
    <row r="11" spans="2:8" x14ac:dyDescent="0.25">
      <c r="D11" s="4"/>
      <c r="E11" s="4"/>
      <c r="F11" s="4"/>
      <c r="G11" s="4"/>
      <c r="H11" s="4"/>
    </row>
    <row r="12" spans="2:8" x14ac:dyDescent="0.25">
      <c r="D12" s="4"/>
      <c r="E12" s="4"/>
      <c r="F12" s="4"/>
      <c r="G12" s="4"/>
      <c r="H12" s="4"/>
    </row>
    <row r="13" spans="2:8" x14ac:dyDescent="0.25">
      <c r="D13" s="4"/>
      <c r="E13" s="4"/>
      <c r="F13" s="4"/>
      <c r="G13" s="4"/>
      <c r="H13" s="5"/>
    </row>
    <row r="14" spans="2:8" x14ac:dyDescent="0.25">
      <c r="C14" s="1"/>
      <c r="D14" s="1"/>
      <c r="E14" s="1"/>
      <c r="F14" s="4"/>
      <c r="G14" s="4"/>
      <c r="H14" s="5"/>
    </row>
    <row r="15" spans="2:8" x14ac:dyDescent="0.25">
      <c r="D15" s="4"/>
      <c r="E15" s="4"/>
      <c r="F15" s="4"/>
      <c r="G15" s="4"/>
      <c r="H15" s="4"/>
    </row>
    <row r="16" spans="2:8" x14ac:dyDescent="0.25">
      <c r="D16" s="4"/>
      <c r="E16" s="4"/>
      <c r="F16" s="4"/>
      <c r="G16" s="4"/>
      <c r="H16" s="5"/>
    </row>
    <row r="17" spans="4:8" x14ac:dyDescent="0.25">
      <c r="D17" s="1"/>
      <c r="E17" s="1"/>
      <c r="F17" s="4"/>
      <c r="G17" s="4"/>
      <c r="H17" s="5"/>
    </row>
    <row r="57" spans="13:13" x14ac:dyDescent="0.25">
      <c r="M57" s="2"/>
    </row>
    <row r="58" spans="13:13" x14ac:dyDescent="0.25">
      <c r="M58" s="2"/>
    </row>
    <row r="59" spans="13:13" x14ac:dyDescent="0.25">
      <c r="M59" s="2"/>
    </row>
    <row r="60" spans="13:13" x14ac:dyDescent="0.25">
      <c r="M60" s="2"/>
    </row>
    <row r="61" spans="13:13" x14ac:dyDescent="0.25">
      <c r="M61" s="2"/>
    </row>
    <row r="62" spans="13:13" x14ac:dyDescent="0.25">
      <c r="M62" s="2"/>
    </row>
    <row r="63" spans="13:13" x14ac:dyDescent="0.25">
      <c r="M63" s="2"/>
    </row>
    <row r="64" spans="13:13" x14ac:dyDescent="0.25">
      <c r="M64" s="2"/>
    </row>
    <row r="65" spans="13:13" x14ac:dyDescent="0.25">
      <c r="M65" s="2"/>
    </row>
    <row r="66" spans="13:13" x14ac:dyDescent="0.25">
      <c r="M66" s="2"/>
    </row>
    <row r="67" spans="13:13" x14ac:dyDescent="0.25">
      <c r="M67" s="2"/>
    </row>
    <row r="68" spans="13:13" x14ac:dyDescent="0.25">
      <c r="M68" s="2"/>
    </row>
    <row r="69" spans="13:13" x14ac:dyDescent="0.25">
      <c r="M69" s="2"/>
    </row>
    <row r="70" spans="13:13" x14ac:dyDescent="0.25">
      <c r="M70" s="2"/>
    </row>
    <row r="71" spans="13:13" x14ac:dyDescent="0.25">
      <c r="M71" s="2"/>
    </row>
    <row r="72" spans="13:13" x14ac:dyDescent="0.25">
      <c r="M72" s="2"/>
    </row>
    <row r="73" spans="13:13" x14ac:dyDescent="0.25">
      <c r="M73" s="2"/>
    </row>
    <row r="74" spans="13:13" x14ac:dyDescent="0.25">
      <c r="M74" s="2"/>
    </row>
    <row r="75" spans="13:13" x14ac:dyDescent="0.25">
      <c r="M75" s="2"/>
    </row>
    <row r="76" spans="13:13" x14ac:dyDescent="0.25">
      <c r="M76" s="2"/>
    </row>
    <row r="77" spans="13:13" x14ac:dyDescent="0.25">
      <c r="M77" s="2"/>
    </row>
    <row r="78" spans="13:13" x14ac:dyDescent="0.25">
      <c r="M78" s="2"/>
    </row>
    <row r="79" spans="13:13" x14ac:dyDescent="0.25">
      <c r="M79" s="2"/>
    </row>
    <row r="80" spans="13:13" x14ac:dyDescent="0.25">
      <c r="M80" s="2"/>
    </row>
    <row r="81" spans="13:13" x14ac:dyDescent="0.25">
      <c r="M81" s="2"/>
    </row>
    <row r="82" spans="13:13" x14ac:dyDescent="0.25">
      <c r="M82" s="2"/>
    </row>
    <row r="83" spans="13:13" x14ac:dyDescent="0.25">
      <c r="M83" s="2"/>
    </row>
    <row r="84" spans="13:13" x14ac:dyDescent="0.25">
      <c r="M84" s="2"/>
    </row>
    <row r="85" spans="13:13" x14ac:dyDescent="0.25">
      <c r="M85" s="2"/>
    </row>
    <row r="86" spans="13:13" x14ac:dyDescent="0.25">
      <c r="M86" s="2"/>
    </row>
    <row r="87" spans="13:13" x14ac:dyDescent="0.25">
      <c r="M87" s="2"/>
    </row>
    <row r="88" spans="13:13" x14ac:dyDescent="0.25">
      <c r="M88" s="2"/>
    </row>
    <row r="89" spans="13:13" x14ac:dyDescent="0.25">
      <c r="M89" s="2"/>
    </row>
    <row r="90" spans="13:13" x14ac:dyDescent="0.25">
      <c r="M90" s="2"/>
    </row>
    <row r="91" spans="13:13" x14ac:dyDescent="0.25">
      <c r="M91" s="2"/>
    </row>
    <row r="92" spans="13:13" x14ac:dyDescent="0.25">
      <c r="M92" s="2"/>
    </row>
    <row r="93" spans="13:13" x14ac:dyDescent="0.25">
      <c r="M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2024-10-21T12:55:33Z</dcterms:modified>
</cp:coreProperties>
</file>