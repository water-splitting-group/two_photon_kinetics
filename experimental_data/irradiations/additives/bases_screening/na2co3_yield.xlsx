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86hug\Desktop\two_photon_kinetics_parent\two_photon_kinetics\experimental_data\irradiations\additives\bases_screening\"/>
    </mc:Choice>
  </mc:AlternateContent>
  <xr:revisionPtr revIDLastSave="0" documentId="13_ncr:1_{7E9CABA4-4B0D-4E90-A913-357A4B132458}" xr6:coauthVersionLast="36" xr6:coauthVersionMax="36" xr10:uidLastSave="{00000000-0000-0000-0000-000000000000}"/>
  <bookViews>
    <workbookView xWindow="0" yWindow="0" windowWidth="28800" windowHeight="13305" xr2:uid="{41A491FD-4B9E-374A-A7E5-31AA742B0AD0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1" l="1"/>
  <c r="F10" i="1"/>
  <c r="G10" i="1"/>
  <c r="H10" i="1"/>
  <c r="D10" i="1"/>
  <c r="E7" i="1"/>
  <c r="F7" i="1"/>
  <c r="G7" i="1"/>
  <c r="H7" i="1"/>
  <c r="I7" i="1"/>
  <c r="D7" i="1"/>
  <c r="H3" i="1"/>
  <c r="H5" i="1"/>
  <c r="E5" i="1"/>
  <c r="F5" i="1"/>
  <c r="G5" i="1"/>
  <c r="I5" i="1"/>
  <c r="D5" i="1"/>
  <c r="I10" i="1"/>
</calcChain>
</file>

<file path=xl/sharedStrings.xml><?xml version="1.0" encoding="utf-8"?>
<sst xmlns="http://schemas.openxmlformats.org/spreadsheetml/2006/main" count="19" uniqueCount="16">
  <si>
    <t>0 ppm</t>
  </si>
  <si>
    <t>Before</t>
  </si>
  <si>
    <t>Adjusted to inten-sitiy before at 0 ppm</t>
  </si>
  <si>
    <t>66 ppm</t>
  </si>
  <si>
    <t>90 ppm</t>
  </si>
  <si>
    <t>Yield hydride</t>
  </si>
  <si>
    <t>Unreacted susbstrate</t>
  </si>
  <si>
    <t>Other stuff</t>
  </si>
  <si>
    <t>81.8 ppm</t>
  </si>
  <si>
    <t>56.8 ppm</t>
  </si>
  <si>
    <t>Yield trans hydride</t>
  </si>
  <si>
    <t>Main side prod</t>
  </si>
  <si>
    <t>Other signals</t>
  </si>
  <si>
    <t>Other sideproducts</t>
  </si>
  <si>
    <t>After</t>
  </si>
  <si>
    <t>Against 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</si>
</sst>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565D9-697E-0E4A-8B54-161E002639E6}">
  <dimension ref="B1:N95"/>
  <sheetViews>
    <sheetView tabSelected="1" topLeftCell="C1" workbookViewId="0">
      <selection activeCell="H11" sqref="H11"/>
    </sheetView>
  </sheetViews>
  <sheetFormatPr baseColWidth="10" defaultRowHeight="15.75" x14ac:dyDescent="0.25"/>
  <cols>
    <col min="2" max="2" width="18" customWidth="1"/>
    <col min="3" max="3" width="17.75" bestFit="1" customWidth="1"/>
    <col min="4" max="4" width="11.375" bestFit="1" customWidth="1"/>
    <col min="5" max="5" width="16.125" bestFit="1" customWidth="1"/>
    <col min="6" max="6" width="18.375" bestFit="1" customWidth="1"/>
    <col min="7" max="7" width="13" bestFit="1" customWidth="1"/>
    <col min="8" max="8" width="16.5" bestFit="1" customWidth="1"/>
    <col min="9" max="9" width="11.375" bestFit="1" customWidth="1"/>
  </cols>
  <sheetData>
    <row r="1" spans="2:9" x14ac:dyDescent="0.25">
      <c r="C1" t="s">
        <v>15</v>
      </c>
      <c r="D1" t="s">
        <v>4</v>
      </c>
      <c r="E1" t="s">
        <v>8</v>
      </c>
      <c r="F1" t="s">
        <v>3</v>
      </c>
      <c r="G1" t="s">
        <v>9</v>
      </c>
      <c r="H1" t="s">
        <v>12</v>
      </c>
      <c r="I1" t="s">
        <v>0</v>
      </c>
    </row>
    <row r="2" spans="2:9" x14ac:dyDescent="0.25">
      <c r="C2" t="s">
        <v>1</v>
      </c>
      <c r="D2" s="4">
        <v>0</v>
      </c>
      <c r="E2" s="4">
        <v>0</v>
      </c>
      <c r="F2" s="4">
        <v>2491985.7000000002</v>
      </c>
      <c r="G2" s="4">
        <v>0</v>
      </c>
      <c r="H2" s="4">
        <v>0</v>
      </c>
      <c r="I2" s="4">
        <v>10395614.08</v>
      </c>
    </row>
    <row r="3" spans="2:9" x14ac:dyDescent="0.25">
      <c r="C3" t="s">
        <v>14</v>
      </c>
      <c r="D3" s="4">
        <v>256589.04</v>
      </c>
      <c r="E3" s="4">
        <v>0</v>
      </c>
      <c r="F3" s="4">
        <v>2072579.54</v>
      </c>
      <c r="G3" s="4">
        <v>566297.78</v>
      </c>
      <c r="H3" s="4">
        <f>31669.77+68994.55</f>
        <v>100664.32000000001</v>
      </c>
      <c r="I3" s="4">
        <v>11796347.33</v>
      </c>
    </row>
    <row r="4" spans="2:9" x14ac:dyDescent="0.25">
      <c r="D4" s="4"/>
      <c r="E4" s="4"/>
      <c r="F4" s="4"/>
      <c r="G4" s="4"/>
      <c r="H4" s="4"/>
      <c r="I4" s="4"/>
    </row>
    <row r="5" spans="2:9" ht="31.5" x14ac:dyDescent="0.25">
      <c r="B5" s="1" t="s">
        <v>2</v>
      </c>
      <c r="C5" t="s">
        <v>14</v>
      </c>
      <c r="D5" s="4">
        <f>D3*$I$2/$I3</f>
        <v>226120.89678082438</v>
      </c>
      <c r="E5" s="4">
        <f t="shared" ref="E5:I5" si="0">E3*$I$2/$I3</f>
        <v>0</v>
      </c>
      <c r="F5" s="4">
        <f t="shared" si="0"/>
        <v>1826475.3016511868</v>
      </c>
      <c r="G5" s="4">
        <f t="shared" si="0"/>
        <v>499053.90292036638</v>
      </c>
      <c r="H5" s="4">
        <f t="shared" ref="H5" si="1">H3*$I$2/$I3</f>
        <v>88711.140242903115</v>
      </c>
      <c r="I5" s="4">
        <f t="shared" si="0"/>
        <v>10395614.08</v>
      </c>
    </row>
    <row r="6" spans="2:9" x14ac:dyDescent="0.25">
      <c r="C6" s="1"/>
      <c r="D6" s="4"/>
      <c r="E6" s="4"/>
      <c r="F6" s="4"/>
      <c r="G6" s="4"/>
      <c r="H6" s="4"/>
      <c r="I6" s="4"/>
    </row>
    <row r="7" spans="2:9" x14ac:dyDescent="0.25">
      <c r="C7" s="1" t="s">
        <v>14</v>
      </c>
      <c r="D7" s="4">
        <f>D5*(SUM($D$2:$H$2)/SUM($D5:$H5))</f>
        <v>213413.99516550062</v>
      </c>
      <c r="E7" s="4">
        <f t="shared" ref="E7:I7" si="2">E5*(SUM($D$2:$H$2)/SUM($D5:$H5))</f>
        <v>0</v>
      </c>
      <c r="F7" s="4">
        <f t="shared" si="2"/>
        <v>1723836.2165807062</v>
      </c>
      <c r="G7" s="4">
        <f t="shared" si="2"/>
        <v>471009.48537456529</v>
      </c>
      <c r="H7" s="4">
        <f t="shared" si="2"/>
        <v>83726.002879228239</v>
      </c>
      <c r="I7" s="4">
        <f t="shared" si="2"/>
        <v>9811430.8080157526</v>
      </c>
    </row>
    <row r="8" spans="2:9" x14ac:dyDescent="0.25">
      <c r="C8" s="1"/>
      <c r="D8" s="4"/>
      <c r="E8" s="4"/>
      <c r="F8" s="4"/>
      <c r="G8" s="4"/>
      <c r="H8" s="4"/>
      <c r="I8" s="4"/>
    </row>
    <row r="9" spans="2:9" x14ac:dyDescent="0.25">
      <c r="C9" s="1"/>
      <c r="D9" s="4" t="s">
        <v>5</v>
      </c>
      <c r="E9" s="4" t="s">
        <v>10</v>
      </c>
      <c r="F9" s="4" t="s">
        <v>6</v>
      </c>
      <c r="G9" s="4" t="s">
        <v>11</v>
      </c>
      <c r="H9" s="4" t="s">
        <v>13</v>
      </c>
      <c r="I9" s="4" t="s">
        <v>7</v>
      </c>
    </row>
    <row r="10" spans="2:9" x14ac:dyDescent="0.25">
      <c r="C10" t="s">
        <v>14</v>
      </c>
      <c r="D10" s="4">
        <f>D7/$F$2</f>
        <v>8.5640136364145511E-2</v>
      </c>
      <c r="E10" s="4">
        <f t="shared" ref="E10:H10" si="3">E7/$F$2</f>
        <v>0</v>
      </c>
      <c r="F10" s="4">
        <f t="shared" si="3"/>
        <v>0.69175205001405349</v>
      </c>
      <c r="G10" s="4">
        <f t="shared" si="3"/>
        <v>0.18900970634565248</v>
      </c>
      <c r="H10" s="4">
        <f t="shared" si="3"/>
        <v>3.3598107276148585E-2</v>
      </c>
      <c r="I10" s="4">
        <f>1-SUM(D10:H10)</f>
        <v>0</v>
      </c>
    </row>
    <row r="14" spans="2:9" x14ac:dyDescent="0.25">
      <c r="D14" s="4"/>
      <c r="E14" s="4"/>
      <c r="F14" s="4"/>
      <c r="G14" s="4"/>
      <c r="H14" s="4"/>
      <c r="I14" s="4"/>
    </row>
    <row r="15" spans="2:9" x14ac:dyDescent="0.25">
      <c r="D15" s="4"/>
      <c r="E15" s="4"/>
      <c r="F15" s="4"/>
      <c r="G15" s="4"/>
      <c r="H15" s="4"/>
      <c r="I15" s="4"/>
    </row>
    <row r="16" spans="2:9" x14ac:dyDescent="0.25">
      <c r="D16" s="4"/>
      <c r="E16" s="4"/>
      <c r="F16" s="4"/>
      <c r="G16" s="4"/>
      <c r="H16" s="4"/>
      <c r="I16" s="4"/>
    </row>
    <row r="17" spans="3:9" x14ac:dyDescent="0.25">
      <c r="D17" s="4"/>
      <c r="E17" s="4"/>
      <c r="F17" s="4"/>
      <c r="G17" s="4"/>
      <c r="H17" s="4"/>
      <c r="I17" s="4"/>
    </row>
    <row r="18" spans="3:9" x14ac:dyDescent="0.25">
      <c r="C18" s="1"/>
      <c r="D18" s="4"/>
      <c r="E18" s="4"/>
      <c r="F18" s="4"/>
      <c r="G18" s="4"/>
      <c r="H18" s="4"/>
      <c r="I18" s="4"/>
    </row>
    <row r="19" spans="3:9" x14ac:dyDescent="0.25">
      <c r="C19" s="1"/>
      <c r="D19" s="4"/>
      <c r="E19" s="4"/>
      <c r="F19" s="4"/>
      <c r="G19" s="4"/>
      <c r="H19" s="4"/>
      <c r="I19" s="4"/>
    </row>
    <row r="20" spans="3:9" x14ac:dyDescent="0.25">
      <c r="D20" s="4"/>
      <c r="E20" s="4"/>
      <c r="F20" s="4"/>
      <c r="G20" s="4"/>
      <c r="H20" s="4"/>
      <c r="I20" s="4"/>
    </row>
    <row r="59" spans="14:14" x14ac:dyDescent="0.25">
      <c r="N59" s="2"/>
    </row>
    <row r="60" spans="14:14" x14ac:dyDescent="0.25">
      <c r="N60" s="2"/>
    </row>
    <row r="61" spans="14:14" x14ac:dyDescent="0.25">
      <c r="N61" s="2"/>
    </row>
    <row r="62" spans="14:14" x14ac:dyDescent="0.25">
      <c r="N62" s="2"/>
    </row>
    <row r="63" spans="14:14" x14ac:dyDescent="0.25">
      <c r="N63" s="2"/>
    </row>
    <row r="64" spans="14:14" x14ac:dyDescent="0.25">
      <c r="N64" s="2"/>
    </row>
    <row r="65" spans="14:14" x14ac:dyDescent="0.25">
      <c r="N65" s="2"/>
    </row>
    <row r="66" spans="14:14" x14ac:dyDescent="0.25">
      <c r="N66" s="2"/>
    </row>
    <row r="67" spans="14:14" x14ac:dyDescent="0.25">
      <c r="N67" s="2"/>
    </row>
    <row r="68" spans="14:14" x14ac:dyDescent="0.25">
      <c r="N68" s="2"/>
    </row>
    <row r="69" spans="14:14" x14ac:dyDescent="0.25">
      <c r="N69" s="2"/>
    </row>
    <row r="70" spans="14:14" x14ac:dyDescent="0.25">
      <c r="N70" s="2"/>
    </row>
    <row r="71" spans="14:14" x14ac:dyDescent="0.25">
      <c r="N71" s="2"/>
    </row>
    <row r="72" spans="14:14" x14ac:dyDescent="0.25">
      <c r="N72" s="2"/>
    </row>
    <row r="73" spans="14:14" x14ac:dyDescent="0.25">
      <c r="N73" s="2"/>
    </row>
    <row r="74" spans="14:14" x14ac:dyDescent="0.25">
      <c r="N74" s="2"/>
    </row>
    <row r="75" spans="14:14" x14ac:dyDescent="0.25">
      <c r="N75" s="2"/>
    </row>
    <row r="76" spans="14:14" x14ac:dyDescent="0.25">
      <c r="N76" s="2"/>
    </row>
    <row r="77" spans="14:14" x14ac:dyDescent="0.25">
      <c r="N77" s="2"/>
    </row>
    <row r="78" spans="14:14" x14ac:dyDescent="0.25">
      <c r="N78" s="2"/>
    </row>
    <row r="79" spans="14:14" x14ac:dyDescent="0.25">
      <c r="N79" s="2"/>
    </row>
    <row r="80" spans="14:14" x14ac:dyDescent="0.25">
      <c r="N80" s="2"/>
    </row>
    <row r="81" spans="14:14" x14ac:dyDescent="0.25">
      <c r="N81" s="2"/>
    </row>
    <row r="82" spans="14:14" x14ac:dyDescent="0.25">
      <c r="N82" s="2"/>
    </row>
    <row r="83" spans="14:14" x14ac:dyDescent="0.25">
      <c r="N83" s="2"/>
    </row>
    <row r="84" spans="14:14" x14ac:dyDescent="0.25">
      <c r="N84" s="2"/>
    </row>
    <row r="85" spans="14:14" x14ac:dyDescent="0.25">
      <c r="N85" s="2"/>
    </row>
    <row r="86" spans="14:14" x14ac:dyDescent="0.25">
      <c r="N86" s="2"/>
    </row>
    <row r="87" spans="14:14" x14ac:dyDescent="0.25">
      <c r="N87" s="2"/>
    </row>
    <row r="88" spans="14:14" x14ac:dyDescent="0.25">
      <c r="N88" s="2"/>
    </row>
    <row r="89" spans="14:14" x14ac:dyDescent="0.25">
      <c r="N89" s="2"/>
    </row>
    <row r="90" spans="14:14" x14ac:dyDescent="0.25">
      <c r="N90" s="2"/>
    </row>
    <row r="91" spans="14:14" x14ac:dyDescent="0.25">
      <c r="N91" s="2"/>
    </row>
    <row r="92" spans="14:14" x14ac:dyDescent="0.25">
      <c r="N92" s="2"/>
    </row>
    <row r="93" spans="14:14" x14ac:dyDescent="0.25">
      <c r="N93" s="2"/>
    </row>
    <row r="94" spans="14:14" x14ac:dyDescent="0.25">
      <c r="N94" s="2"/>
    </row>
    <row r="95" spans="14:14" x14ac:dyDescent="0.25">
      <c r="N9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Schneidewind</dc:creator>
  <cp:lastModifiedBy>Alexander Eith</cp:lastModifiedBy>
  <dcterms:created xsi:type="dcterms:W3CDTF">2023-08-11T13:07:44Z</dcterms:created>
  <dcterms:modified xsi:type="dcterms:W3CDTF">2025-11-17T10:36:50Z</dcterms:modified>
</cp:coreProperties>
</file>