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86hug\Desktop\Berechnungen\"/>
    </mc:Choice>
  </mc:AlternateContent>
  <xr:revisionPtr revIDLastSave="0" documentId="13_ncr:1_{699113F5-FA83-4BC6-8253-A63AF198CEC7}" xr6:coauthVersionLast="36" xr6:coauthVersionMax="36" xr10:uidLastSave="{00000000-0000-0000-0000-000000000000}"/>
  <bookViews>
    <workbookView xWindow="0" yWindow="0" windowWidth="28800" windowHeight="13905" xr2:uid="{41A491FD-4B9E-374A-A7E5-31AA742B0A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9" i="1" l="1"/>
  <c r="F19" i="1"/>
  <c r="G19" i="1"/>
  <c r="H19" i="1"/>
  <c r="E20" i="1"/>
  <c r="F20" i="1"/>
  <c r="G20" i="1"/>
  <c r="H20" i="1"/>
  <c r="E21" i="1"/>
  <c r="F21" i="1"/>
  <c r="G21" i="1"/>
  <c r="H21" i="1"/>
  <c r="E22" i="1"/>
  <c r="F22" i="1"/>
  <c r="G22" i="1"/>
  <c r="H22" i="1"/>
  <c r="D20" i="1"/>
  <c r="D21" i="1"/>
  <c r="D22" i="1"/>
  <c r="D19" i="1"/>
  <c r="D16" i="1"/>
  <c r="E16" i="1"/>
  <c r="F16" i="1"/>
  <c r="G16" i="1"/>
  <c r="H16" i="1"/>
  <c r="I16" i="1"/>
  <c r="E15" i="1"/>
  <c r="F15" i="1"/>
  <c r="G15" i="1"/>
  <c r="H15" i="1"/>
  <c r="I15" i="1"/>
  <c r="D15" i="1"/>
  <c r="D14" i="1"/>
  <c r="E14" i="1"/>
  <c r="F14" i="1"/>
  <c r="G14" i="1"/>
  <c r="H14" i="1"/>
  <c r="I14" i="1"/>
  <c r="E13" i="1"/>
  <c r="F13" i="1"/>
  <c r="G13" i="1"/>
  <c r="H13" i="1"/>
  <c r="I13" i="1"/>
  <c r="D13" i="1"/>
  <c r="H6" i="1"/>
  <c r="D11" i="1"/>
  <c r="H5" i="1" l="1"/>
  <c r="H4" i="1"/>
  <c r="H3" i="1"/>
  <c r="D9" i="1" l="1"/>
  <c r="D10" i="1"/>
  <c r="E10" i="1"/>
  <c r="F10" i="1"/>
  <c r="G10" i="1"/>
  <c r="H10" i="1"/>
  <c r="I10" i="1"/>
  <c r="E11" i="1"/>
  <c r="F11" i="1"/>
  <c r="G11" i="1"/>
  <c r="H11" i="1"/>
  <c r="I11" i="1"/>
  <c r="I22" i="1" l="1"/>
  <c r="I21" i="1"/>
  <c r="I9" i="1"/>
  <c r="H9" i="1"/>
  <c r="G9" i="1"/>
  <c r="F9" i="1"/>
  <c r="E9" i="1"/>
  <c r="I20" i="1" s="1"/>
  <c r="H8" i="1"/>
  <c r="G8" i="1" l="1"/>
  <c r="F8" i="1"/>
  <c r="E8" i="1" l="1"/>
  <c r="I8" i="1" l="1"/>
  <c r="D8" i="1" l="1"/>
  <c r="I19" i="1" l="1"/>
</calcChain>
</file>

<file path=xl/sharedStrings.xml><?xml version="1.0" encoding="utf-8"?>
<sst xmlns="http://schemas.openxmlformats.org/spreadsheetml/2006/main" count="31" uniqueCount="19">
  <si>
    <t>0 ppm</t>
  </si>
  <si>
    <t>Before</t>
  </si>
  <si>
    <t>Adjusted to inten-sitiy before at 0 ppm</t>
  </si>
  <si>
    <t>90 ppm</t>
  </si>
  <si>
    <t>Yield hydride</t>
  </si>
  <si>
    <t>Unreacted susbstrate</t>
  </si>
  <si>
    <t>Other stuff</t>
  </si>
  <si>
    <t>81.8 ppm</t>
  </si>
  <si>
    <t>Yield trans hydride</t>
  </si>
  <si>
    <t>Main side prod</t>
  </si>
  <si>
    <t>Other signals</t>
  </si>
  <si>
    <t>Other sideproducts</t>
  </si>
  <si>
    <t>Against -1</t>
  </si>
  <si>
    <t>67 ppm</t>
  </si>
  <si>
    <t>57 ppm</t>
  </si>
  <si>
    <t>After 1h</t>
  </si>
  <si>
    <t>After 4h</t>
  </si>
  <si>
    <t>After 24h</t>
  </si>
  <si>
    <t>After 48h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</si>
</sst>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565D9-697E-0E4A-8B54-161E002639E6}">
  <dimension ref="B1:N104"/>
  <sheetViews>
    <sheetView tabSelected="1" topLeftCell="B1" workbookViewId="0">
      <selection activeCell="G26" sqref="G26"/>
    </sheetView>
  </sheetViews>
  <sheetFormatPr baseColWidth="10" defaultRowHeight="15.75" x14ac:dyDescent="0.25"/>
  <cols>
    <col min="2" max="2" width="18" customWidth="1"/>
    <col min="3" max="3" width="17.75" bestFit="1" customWidth="1"/>
    <col min="4" max="4" width="12.375" bestFit="1" customWidth="1"/>
    <col min="5" max="5" width="16.125" bestFit="1" customWidth="1"/>
    <col min="6" max="6" width="18.375" bestFit="1" customWidth="1"/>
    <col min="7" max="7" width="16" customWidth="1"/>
    <col min="8" max="8" width="16.5" bestFit="1" customWidth="1"/>
    <col min="9" max="9" width="14.375" bestFit="1" customWidth="1"/>
  </cols>
  <sheetData>
    <row r="1" spans="2:9" x14ac:dyDescent="0.25">
      <c r="C1" t="s">
        <v>12</v>
      </c>
      <c r="D1" t="s">
        <v>3</v>
      </c>
      <c r="E1" t="s">
        <v>7</v>
      </c>
      <c r="F1" t="s">
        <v>13</v>
      </c>
      <c r="G1" t="s">
        <v>14</v>
      </c>
      <c r="H1" t="s">
        <v>10</v>
      </c>
      <c r="I1" t="s">
        <v>0</v>
      </c>
    </row>
    <row r="2" spans="2:9" x14ac:dyDescent="0.25">
      <c r="C2" t="s">
        <v>1</v>
      </c>
      <c r="D2" s="4">
        <v>0</v>
      </c>
      <c r="E2" s="4">
        <v>0</v>
      </c>
      <c r="F2" s="4">
        <v>1775655.22</v>
      </c>
      <c r="G2" s="4">
        <v>0</v>
      </c>
      <c r="H2" s="4">
        <v>35126.67</v>
      </c>
      <c r="I2" s="4">
        <v>3321833.7</v>
      </c>
    </row>
    <row r="3" spans="2:9" x14ac:dyDescent="0.25">
      <c r="C3" t="s">
        <v>15</v>
      </c>
      <c r="D3" s="4">
        <v>0</v>
      </c>
      <c r="E3" s="4">
        <v>0</v>
      </c>
      <c r="F3" s="4">
        <v>1597015.88</v>
      </c>
      <c r="G3" s="4">
        <v>0</v>
      </c>
      <c r="H3" s="4">
        <f>36727.67+37441.12</f>
        <v>74168.790000000008</v>
      </c>
      <c r="I3" s="4">
        <v>2911516.56</v>
      </c>
    </row>
    <row r="4" spans="2:9" x14ac:dyDescent="0.25">
      <c r="C4" t="s">
        <v>16</v>
      </c>
      <c r="D4" s="4">
        <v>51838.91</v>
      </c>
      <c r="E4" s="4">
        <v>0</v>
      </c>
      <c r="F4" s="4">
        <v>1447217.8</v>
      </c>
      <c r="G4" s="4">
        <v>110064.16</v>
      </c>
      <c r="H4" s="4">
        <f>52908.17+47747.41+43705.49+47196.29</f>
        <v>191557.36000000002</v>
      </c>
      <c r="I4" s="4">
        <v>3162581.51</v>
      </c>
    </row>
    <row r="5" spans="2:9" x14ac:dyDescent="0.25">
      <c r="C5" t="s">
        <v>17</v>
      </c>
      <c r="D5" s="4">
        <v>370831.27</v>
      </c>
      <c r="E5" s="4">
        <v>0</v>
      </c>
      <c r="F5" s="4">
        <v>148197.26</v>
      </c>
      <c r="G5" s="4">
        <v>811102.33</v>
      </c>
      <c r="H5" s="4">
        <f>132031.38+53835.1</f>
        <v>185866.48</v>
      </c>
      <c r="I5" s="4">
        <v>3246958.4</v>
      </c>
    </row>
    <row r="6" spans="2:9" x14ac:dyDescent="0.25">
      <c r="C6" t="s">
        <v>18</v>
      </c>
      <c r="D6" s="4">
        <v>432495.62</v>
      </c>
      <c r="E6" s="4">
        <v>0</v>
      </c>
      <c r="F6" s="4">
        <v>0</v>
      </c>
      <c r="G6" s="4">
        <v>538959.18999999994</v>
      </c>
      <c r="H6" s="4">
        <f>69031.46+18798.05+38516.97</f>
        <v>126346.48000000001</v>
      </c>
      <c r="I6" s="4">
        <v>3347916.91</v>
      </c>
    </row>
    <row r="7" spans="2:9" x14ac:dyDescent="0.25">
      <c r="D7" s="4"/>
      <c r="E7" s="4"/>
      <c r="F7" s="4"/>
      <c r="G7" s="4"/>
      <c r="H7" s="4"/>
      <c r="I7" s="4"/>
    </row>
    <row r="8" spans="2:9" ht="31.5" x14ac:dyDescent="0.25">
      <c r="B8" s="1" t="s">
        <v>2</v>
      </c>
      <c r="C8" t="s">
        <v>15</v>
      </c>
      <c r="D8" s="4">
        <f>D3*$I$2/$I3</f>
        <v>0</v>
      </c>
      <c r="E8" s="4">
        <f>(E3-E2)*$I$2/$I3</f>
        <v>0</v>
      </c>
      <c r="F8" s="4">
        <f>(F3)*$I$2/$I3</f>
        <v>1822081.743412497</v>
      </c>
      <c r="G8" s="4">
        <f>(G3)*$I$2/$I3</f>
        <v>0</v>
      </c>
      <c r="H8" s="4">
        <f>(H3)*$I$2/$I3</f>
        <v>84621.323984577655</v>
      </c>
      <c r="I8" s="4">
        <f>I3*$I$2/$I3</f>
        <v>3321833.7</v>
      </c>
    </row>
    <row r="9" spans="2:9" x14ac:dyDescent="0.25">
      <c r="B9" s="1"/>
      <c r="C9" t="s">
        <v>16</v>
      </c>
      <c r="D9" s="4">
        <f t="shared" ref="D9:D11" si="0">D4*$I$2/$I4</f>
        <v>54449.264837846677</v>
      </c>
      <c r="E9" s="4">
        <f t="shared" ref="E9:E11" si="1">(E4-E3)*$I$2/$I4</f>
        <v>0</v>
      </c>
      <c r="F9" s="4">
        <f t="shared" ref="F9:H9" si="2">(F4)*$I$2/$I4</f>
        <v>1520092.6344756442</v>
      </c>
      <c r="G9" s="4">
        <f t="shared" si="2"/>
        <v>115606.45463022139</v>
      </c>
      <c r="H9" s="4">
        <f t="shared" si="2"/>
        <v>201203.25497350807</v>
      </c>
      <c r="I9" s="4">
        <f t="shared" ref="I9:I11" si="3">I4*$I$2/$I4</f>
        <v>3321833.7</v>
      </c>
    </row>
    <row r="10" spans="2:9" x14ac:dyDescent="0.25">
      <c r="B10" s="1"/>
      <c r="C10" t="s">
        <v>17</v>
      </c>
      <c r="D10" s="4">
        <f t="shared" si="0"/>
        <v>379382.68925767549</v>
      </c>
      <c r="E10" s="4">
        <f t="shared" si="1"/>
        <v>0</v>
      </c>
      <c r="F10" s="4">
        <f t="shared" ref="F10:H10" si="4">(F5)*$I$2/$I5</f>
        <v>151614.70886589185</v>
      </c>
      <c r="G10" s="4">
        <f t="shared" si="4"/>
        <v>829806.45946758077</v>
      </c>
      <c r="H10" s="4">
        <f t="shared" si="4"/>
        <v>190152.58617553464</v>
      </c>
      <c r="I10" s="4">
        <f t="shared" si="3"/>
        <v>3321833.7</v>
      </c>
    </row>
    <row r="11" spans="2:9" x14ac:dyDescent="0.25">
      <c r="B11" s="1"/>
      <c r="C11" t="s">
        <v>18</v>
      </c>
      <c r="D11" s="4">
        <f>D6*$I$2/$I6</f>
        <v>429126.09967324248</v>
      </c>
      <c r="E11" s="4">
        <f t="shared" si="1"/>
        <v>0</v>
      </c>
      <c r="F11" s="4">
        <f t="shared" ref="F11:H11" si="5">(F6)*$I$2/$I6</f>
        <v>0</v>
      </c>
      <c r="G11" s="4">
        <f t="shared" si="5"/>
        <v>534760.22505788621</v>
      </c>
      <c r="H11" s="4">
        <f t="shared" si="5"/>
        <v>125362.130071614</v>
      </c>
      <c r="I11" s="4">
        <f t="shared" si="3"/>
        <v>3321833.6999999997</v>
      </c>
    </row>
    <row r="12" spans="2:9" x14ac:dyDescent="0.25">
      <c r="B12" s="1"/>
      <c r="D12" s="4"/>
      <c r="E12" s="4"/>
      <c r="F12" s="4"/>
      <c r="G12" s="4"/>
      <c r="H12" s="4"/>
      <c r="I12" s="4"/>
    </row>
    <row r="13" spans="2:9" x14ac:dyDescent="0.25">
      <c r="B13" s="1"/>
      <c r="C13" t="s">
        <v>15</v>
      </c>
      <c r="D13" s="4">
        <f>D8*(SUM($D$2:$H$2)/SUM($D8:$H8))</f>
        <v>0</v>
      </c>
      <c r="E13" s="4">
        <f t="shared" ref="E13:I14" si="6">E8*(SUM($D$2:$H$2)/SUM($D8:$H8))</f>
        <v>0</v>
      </c>
      <c r="F13" s="4">
        <f t="shared" si="6"/>
        <v>1730417.6405270717</v>
      </c>
      <c r="G13" s="4">
        <f t="shared" si="6"/>
        <v>0</v>
      </c>
      <c r="H13" s="4">
        <f t="shared" si="6"/>
        <v>80364.249472928161</v>
      </c>
      <c r="I13" s="4">
        <f t="shared" si="6"/>
        <v>3154721.0514341891</v>
      </c>
    </row>
    <row r="14" spans="2:9" x14ac:dyDescent="0.25">
      <c r="B14" s="1"/>
      <c r="C14" t="s">
        <v>16</v>
      </c>
      <c r="D14" s="4">
        <f>D9*(SUM($D$2:$H$2)/SUM($D9:$H9))</f>
        <v>52129.779691588708</v>
      </c>
      <c r="E14" s="4">
        <f t="shared" si="6"/>
        <v>0</v>
      </c>
      <c r="F14" s="4">
        <f t="shared" si="6"/>
        <v>1455338.1828388304</v>
      </c>
      <c r="G14" s="4">
        <f t="shared" si="6"/>
        <v>110681.73333003663</v>
      </c>
      <c r="H14" s="4">
        <f t="shared" si="6"/>
        <v>192632.19413954395</v>
      </c>
      <c r="I14" s="4">
        <f t="shared" si="6"/>
        <v>3180326.850487248</v>
      </c>
    </row>
    <row r="15" spans="2:9" x14ac:dyDescent="0.25">
      <c r="B15" s="1"/>
      <c r="C15" t="s">
        <v>17</v>
      </c>
      <c r="D15" s="4">
        <f>D10</f>
        <v>379382.68925767549</v>
      </c>
      <c r="E15" s="4">
        <f t="shared" ref="E15:I16" si="7">E10</f>
        <v>0</v>
      </c>
      <c r="F15" s="4">
        <f t="shared" si="7"/>
        <v>151614.70886589185</v>
      </c>
      <c r="G15" s="4">
        <f t="shared" si="7"/>
        <v>829806.45946758077</v>
      </c>
      <c r="H15" s="4">
        <f t="shared" si="7"/>
        <v>190152.58617553464</v>
      </c>
      <c r="I15" s="4">
        <f t="shared" si="7"/>
        <v>3321833.7</v>
      </c>
    </row>
    <row r="16" spans="2:9" x14ac:dyDescent="0.25">
      <c r="C16" t="s">
        <v>18</v>
      </c>
      <c r="D16" s="4">
        <f>D11</f>
        <v>429126.09967324248</v>
      </c>
      <c r="E16" s="4">
        <f t="shared" si="7"/>
        <v>0</v>
      </c>
      <c r="F16" s="4">
        <f t="shared" si="7"/>
        <v>0</v>
      </c>
      <c r="G16" s="4">
        <f t="shared" si="7"/>
        <v>534760.22505788621</v>
      </c>
      <c r="H16" s="4">
        <f t="shared" si="7"/>
        <v>125362.130071614</v>
      </c>
      <c r="I16" s="4">
        <f t="shared" si="7"/>
        <v>3321833.6999999997</v>
      </c>
    </row>
    <row r="17" spans="3:9" x14ac:dyDescent="0.25">
      <c r="C17" s="1"/>
      <c r="D17" s="4"/>
      <c r="E17" s="4"/>
      <c r="F17" s="4"/>
      <c r="G17" s="4"/>
      <c r="H17" s="4"/>
      <c r="I17" s="4"/>
    </row>
    <row r="18" spans="3:9" x14ac:dyDescent="0.25">
      <c r="C18" s="1"/>
      <c r="D18" s="4" t="s">
        <v>4</v>
      </c>
      <c r="E18" s="4" t="s">
        <v>8</v>
      </c>
      <c r="F18" s="4" t="s">
        <v>5</v>
      </c>
      <c r="G18" s="4" t="s">
        <v>9</v>
      </c>
      <c r="H18" s="4" t="s">
        <v>11</v>
      </c>
      <c r="I18" s="4" t="s">
        <v>6</v>
      </c>
    </row>
    <row r="19" spans="3:9" x14ac:dyDescent="0.25">
      <c r="C19" t="s">
        <v>15</v>
      </c>
      <c r="D19" s="4">
        <f>D13/SUM($D$2:$H$2)</f>
        <v>0</v>
      </c>
      <c r="E19" s="4">
        <f t="shared" ref="E19:H19" si="8">E13/SUM($D$2:$H$2)</f>
        <v>0</v>
      </c>
      <c r="F19" s="4">
        <f t="shared" si="8"/>
        <v>0.95561903401136383</v>
      </c>
      <c r="G19" s="4">
        <f t="shared" si="8"/>
        <v>0</v>
      </c>
      <c r="H19" s="4">
        <f t="shared" si="8"/>
        <v>4.4380965988636084E-2</v>
      </c>
      <c r="I19" s="4">
        <f>1-SUM(D19:H19)</f>
        <v>0</v>
      </c>
    </row>
    <row r="20" spans="3:9" x14ac:dyDescent="0.25">
      <c r="C20" t="s">
        <v>16</v>
      </c>
      <c r="D20" s="4">
        <f t="shared" ref="D20:H22" si="9">D14/SUM($D$2:$H$2)</f>
        <v>2.8788547079841135E-2</v>
      </c>
      <c r="E20" s="4">
        <f t="shared" si="9"/>
        <v>0</v>
      </c>
      <c r="F20" s="4">
        <f t="shared" si="9"/>
        <v>0.80370705653502561</v>
      </c>
      <c r="G20" s="4">
        <f t="shared" si="9"/>
        <v>6.1123724475749333E-2</v>
      </c>
      <c r="H20" s="4">
        <f t="shared" si="9"/>
        <v>0.10638067190938383</v>
      </c>
      <c r="I20" s="4">
        <f t="shared" ref="I20:I22" si="10">1-SUM(D20:H20)</f>
        <v>0</v>
      </c>
    </row>
    <row r="21" spans="3:9" x14ac:dyDescent="0.25">
      <c r="C21" t="s">
        <v>17</v>
      </c>
      <c r="D21" s="4">
        <f t="shared" si="9"/>
        <v>0.20951318949720416</v>
      </c>
      <c r="E21" s="4">
        <f t="shared" si="9"/>
        <v>0</v>
      </c>
      <c r="F21" s="4">
        <f t="shared" si="9"/>
        <v>8.3728863041529461E-2</v>
      </c>
      <c r="G21" s="4">
        <f t="shared" si="9"/>
        <v>0.45825864730046578</v>
      </c>
      <c r="H21" s="4">
        <f t="shared" si="9"/>
        <v>0.10501131429778915</v>
      </c>
      <c r="I21" s="4">
        <f t="shared" si="10"/>
        <v>0.14348798586301159</v>
      </c>
    </row>
    <row r="22" spans="3:9" x14ac:dyDescent="0.25">
      <c r="C22" t="s">
        <v>18</v>
      </c>
      <c r="D22" s="4">
        <f t="shared" si="9"/>
        <v>0.23698386980954536</v>
      </c>
      <c r="E22" s="4">
        <f t="shared" si="9"/>
        <v>0</v>
      </c>
      <c r="F22" s="4">
        <f t="shared" si="9"/>
        <v>0</v>
      </c>
      <c r="G22" s="4">
        <f t="shared" si="9"/>
        <v>0.29532006478035089</v>
      </c>
      <c r="H22" s="4">
        <f t="shared" si="9"/>
        <v>6.9230938725377916E-2</v>
      </c>
      <c r="I22" s="4">
        <f t="shared" si="10"/>
        <v>0.39846512668472589</v>
      </c>
    </row>
    <row r="23" spans="3:9" x14ac:dyDescent="0.25">
      <c r="D23" s="4"/>
      <c r="E23" s="4"/>
      <c r="F23" s="4"/>
      <c r="G23" s="4"/>
      <c r="H23" s="4"/>
      <c r="I23" s="4"/>
    </row>
    <row r="24" spans="3:9" x14ac:dyDescent="0.25">
      <c r="D24" s="4"/>
      <c r="E24" s="4"/>
      <c r="F24" s="4"/>
      <c r="G24" s="4"/>
      <c r="H24" s="4"/>
      <c r="I24" s="4"/>
    </row>
    <row r="25" spans="3:9" x14ac:dyDescent="0.25">
      <c r="D25" s="4"/>
      <c r="E25" s="4"/>
      <c r="F25" s="4"/>
      <c r="G25" s="4"/>
      <c r="H25" s="4"/>
      <c r="I25" s="4"/>
    </row>
    <row r="26" spans="3:9" x14ac:dyDescent="0.25">
      <c r="D26" s="4"/>
      <c r="E26" s="4"/>
      <c r="F26" s="4"/>
      <c r="G26" s="4"/>
      <c r="H26" s="4"/>
      <c r="I26" s="4"/>
    </row>
    <row r="27" spans="3:9" x14ac:dyDescent="0.25">
      <c r="C27" s="1"/>
      <c r="D27" s="4"/>
      <c r="E27" s="4"/>
      <c r="F27" s="4"/>
      <c r="G27" s="4"/>
      <c r="H27" s="4"/>
      <c r="I27" s="4"/>
    </row>
    <row r="28" spans="3:9" x14ac:dyDescent="0.25">
      <c r="C28" s="1"/>
      <c r="D28" s="4"/>
      <c r="E28" s="4"/>
      <c r="F28" s="4"/>
      <c r="G28" s="4"/>
      <c r="H28" s="4"/>
      <c r="I28" s="4"/>
    </row>
    <row r="29" spans="3:9" x14ac:dyDescent="0.25">
      <c r="D29" s="4"/>
      <c r="E29" s="4"/>
      <c r="F29" s="4"/>
      <c r="G29" s="4"/>
      <c r="H29" s="4"/>
      <c r="I29" s="4"/>
    </row>
    <row r="68" spans="14:14" x14ac:dyDescent="0.25">
      <c r="N68" s="2"/>
    </row>
    <row r="69" spans="14:14" x14ac:dyDescent="0.25">
      <c r="N69" s="2"/>
    </row>
    <row r="70" spans="14:14" x14ac:dyDescent="0.25">
      <c r="N70" s="2"/>
    </row>
    <row r="71" spans="14:14" x14ac:dyDescent="0.25">
      <c r="N71" s="2"/>
    </row>
    <row r="72" spans="14:14" x14ac:dyDescent="0.25">
      <c r="N72" s="2"/>
    </row>
    <row r="73" spans="14:14" x14ac:dyDescent="0.25">
      <c r="N73" s="2"/>
    </row>
    <row r="74" spans="14:14" x14ac:dyDescent="0.25">
      <c r="N74" s="2"/>
    </row>
    <row r="75" spans="14:14" x14ac:dyDescent="0.25">
      <c r="N75" s="2"/>
    </row>
    <row r="76" spans="14:14" x14ac:dyDescent="0.25">
      <c r="N76" s="2"/>
    </row>
    <row r="77" spans="14:14" x14ac:dyDescent="0.25">
      <c r="N77" s="2"/>
    </row>
    <row r="78" spans="14:14" x14ac:dyDescent="0.25">
      <c r="N78" s="2"/>
    </row>
    <row r="79" spans="14:14" x14ac:dyDescent="0.25">
      <c r="N79" s="2"/>
    </row>
    <row r="80" spans="14:14" x14ac:dyDescent="0.25">
      <c r="N80" s="2"/>
    </row>
    <row r="81" spans="14:14" x14ac:dyDescent="0.25">
      <c r="N81" s="2"/>
    </row>
    <row r="82" spans="14:14" x14ac:dyDescent="0.25">
      <c r="N82" s="2"/>
    </row>
    <row r="83" spans="14:14" x14ac:dyDescent="0.25">
      <c r="N83" s="2"/>
    </row>
    <row r="84" spans="14:14" x14ac:dyDescent="0.25">
      <c r="N84" s="2"/>
    </row>
    <row r="85" spans="14:14" x14ac:dyDescent="0.25">
      <c r="N85" s="2"/>
    </row>
    <row r="86" spans="14:14" x14ac:dyDescent="0.25">
      <c r="N86" s="2"/>
    </row>
    <row r="87" spans="14:14" x14ac:dyDescent="0.25">
      <c r="N87" s="2"/>
    </row>
    <row r="88" spans="14:14" x14ac:dyDescent="0.25">
      <c r="N88" s="2"/>
    </row>
    <row r="89" spans="14:14" x14ac:dyDescent="0.25">
      <c r="N89" s="2"/>
    </row>
    <row r="90" spans="14:14" x14ac:dyDescent="0.25">
      <c r="N90" s="2"/>
    </row>
    <row r="91" spans="14:14" x14ac:dyDescent="0.25">
      <c r="N91" s="2"/>
    </row>
    <row r="92" spans="14:14" x14ac:dyDescent="0.25">
      <c r="N92" s="2"/>
    </row>
    <row r="93" spans="14:14" x14ac:dyDescent="0.25">
      <c r="N93" s="2"/>
    </row>
    <row r="94" spans="14:14" x14ac:dyDescent="0.25">
      <c r="N94" s="2"/>
    </row>
    <row r="95" spans="14:14" x14ac:dyDescent="0.25">
      <c r="N95" s="2"/>
    </row>
    <row r="96" spans="14:14" x14ac:dyDescent="0.25">
      <c r="N96" s="2"/>
    </row>
    <row r="97" spans="14:14" x14ac:dyDescent="0.25">
      <c r="N97" s="2"/>
    </row>
    <row r="98" spans="14:14" x14ac:dyDescent="0.25">
      <c r="N98" s="2"/>
    </row>
    <row r="99" spans="14:14" x14ac:dyDescent="0.25">
      <c r="N99" s="2"/>
    </row>
    <row r="100" spans="14:14" x14ac:dyDescent="0.25">
      <c r="N100" s="2"/>
    </row>
    <row r="101" spans="14:14" x14ac:dyDescent="0.25">
      <c r="N101" s="2"/>
    </row>
    <row r="102" spans="14:14" x14ac:dyDescent="0.25">
      <c r="N102" s="2"/>
    </row>
    <row r="103" spans="14:14" x14ac:dyDescent="0.25">
      <c r="N103" s="2"/>
    </row>
    <row r="104" spans="14:14" x14ac:dyDescent="0.25">
      <c r="N10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Schneidewind</dc:creator>
  <cp:lastModifiedBy>Alexander Eith</cp:lastModifiedBy>
  <dcterms:created xsi:type="dcterms:W3CDTF">2023-08-11T13:07:44Z</dcterms:created>
  <dcterms:modified xsi:type="dcterms:W3CDTF">2025-11-18T07:54:10Z</dcterms:modified>
</cp:coreProperties>
</file>