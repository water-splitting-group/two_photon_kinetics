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13_ncr:1_{862CA16D-3F5C-469A-B74E-E7CDD1CFE567}" xr6:coauthVersionLast="36" xr6:coauthVersionMax="36" xr10:uidLastSave="{00000000-0000-0000-0000-000000000000}"/>
  <bookViews>
    <workbookView xWindow="0" yWindow="0" windowWidth="28800" windowHeight="13905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D14" i="1"/>
  <c r="E14" i="1"/>
  <c r="F14" i="1"/>
  <c r="G14" i="1"/>
  <c r="H14" i="1"/>
  <c r="I14" i="1"/>
  <c r="E13" i="1"/>
  <c r="F13" i="1"/>
  <c r="G13" i="1"/>
  <c r="H13" i="1"/>
  <c r="I13" i="1"/>
  <c r="D13" i="1"/>
  <c r="H5" i="1"/>
  <c r="H4" i="1"/>
  <c r="H3" i="1"/>
  <c r="D11" i="1" l="1"/>
  <c r="D16" i="1" s="1"/>
  <c r="D22" i="1" s="1"/>
  <c r="D9" i="1" l="1"/>
  <c r="D10" i="1"/>
  <c r="D15" i="1" s="1"/>
  <c r="D21" i="1" s="1"/>
  <c r="E10" i="1"/>
  <c r="E15" i="1" s="1"/>
  <c r="E21" i="1" s="1"/>
  <c r="F10" i="1"/>
  <c r="F15" i="1" s="1"/>
  <c r="F21" i="1" s="1"/>
  <c r="G10" i="1"/>
  <c r="G15" i="1" s="1"/>
  <c r="G21" i="1" s="1"/>
  <c r="H10" i="1"/>
  <c r="H15" i="1" s="1"/>
  <c r="H21" i="1" s="1"/>
  <c r="I10" i="1"/>
  <c r="I15" i="1" s="1"/>
  <c r="E11" i="1"/>
  <c r="E16" i="1" s="1"/>
  <c r="E22" i="1" s="1"/>
  <c r="F11" i="1"/>
  <c r="F16" i="1" s="1"/>
  <c r="F22" i="1" s="1"/>
  <c r="G11" i="1"/>
  <c r="G16" i="1" s="1"/>
  <c r="G22" i="1" s="1"/>
  <c r="H11" i="1"/>
  <c r="H16" i="1" s="1"/>
  <c r="H22" i="1" s="1"/>
  <c r="I11" i="1"/>
  <c r="I16" i="1" s="1"/>
  <c r="I22" i="1" l="1"/>
  <c r="I21" i="1"/>
  <c r="I9" i="1"/>
  <c r="H9" i="1"/>
  <c r="G9" i="1"/>
  <c r="F9" i="1"/>
  <c r="E9" i="1"/>
  <c r="H8" i="1"/>
  <c r="E20" i="1" l="1"/>
  <c r="F20" i="1"/>
  <c r="G20" i="1"/>
  <c r="H20" i="1"/>
  <c r="D20" i="1"/>
  <c r="I20" i="1" s="1"/>
  <c r="G8" i="1"/>
  <c r="F8" i="1"/>
  <c r="E8" i="1" l="1"/>
  <c r="I8" i="1" l="1"/>
  <c r="D8" i="1" l="1"/>
  <c r="D19" i="1" l="1"/>
  <c r="H19" i="1"/>
  <c r="G19" i="1"/>
  <c r="F19" i="1"/>
  <c r="E19" i="1"/>
  <c r="I19" i="1" l="1"/>
</calcChain>
</file>

<file path=xl/sharedStrings.xml><?xml version="1.0" encoding="utf-8"?>
<sst xmlns="http://schemas.openxmlformats.org/spreadsheetml/2006/main" count="31" uniqueCount="19">
  <si>
    <t>0 ppm</t>
  </si>
  <si>
    <t>Before</t>
  </si>
  <si>
    <t>Adjusted to inten-sitiy before at 0 ppm</t>
  </si>
  <si>
    <t>90 ppm</t>
  </si>
  <si>
    <t>Yield hydride</t>
  </si>
  <si>
    <t>Unreacted susbstrate</t>
  </si>
  <si>
    <t>Other stuff</t>
  </si>
  <si>
    <t>81.8 ppm</t>
  </si>
  <si>
    <t>Yield trans hydride</t>
  </si>
  <si>
    <t>Main side prod</t>
  </si>
  <si>
    <t>Other signals</t>
  </si>
  <si>
    <t>Other sideproducts</t>
  </si>
  <si>
    <t>Against -1</t>
  </si>
  <si>
    <t>67 ppm</t>
  </si>
  <si>
    <t>57 ppm</t>
  </si>
  <si>
    <t>After 1h</t>
  </si>
  <si>
    <t>After 4h</t>
  </si>
  <si>
    <t>After 24h</t>
  </si>
  <si>
    <t>After 48h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</si>
</sst>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104"/>
  <sheetViews>
    <sheetView tabSelected="1" topLeftCell="B1" workbookViewId="0">
      <selection activeCell="I7" sqref="I7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2.375" bestFit="1" customWidth="1"/>
    <col min="5" max="5" width="16.125" bestFit="1" customWidth="1"/>
    <col min="6" max="6" width="18.375" bestFit="1" customWidth="1"/>
    <col min="7" max="7" width="16" customWidth="1"/>
    <col min="8" max="8" width="16.5" bestFit="1" customWidth="1"/>
    <col min="9" max="9" width="14.375" bestFit="1" customWidth="1"/>
  </cols>
  <sheetData>
    <row r="1" spans="2:9" x14ac:dyDescent="0.25">
      <c r="C1" t="s">
        <v>12</v>
      </c>
      <c r="D1" t="s">
        <v>3</v>
      </c>
      <c r="E1" t="s">
        <v>7</v>
      </c>
      <c r="F1" t="s">
        <v>13</v>
      </c>
      <c r="G1" t="s">
        <v>14</v>
      </c>
      <c r="H1" t="s">
        <v>10</v>
      </c>
      <c r="I1" t="s">
        <v>0</v>
      </c>
    </row>
    <row r="2" spans="2:9" x14ac:dyDescent="0.25">
      <c r="C2" t="s">
        <v>1</v>
      </c>
      <c r="D2" s="4">
        <v>0</v>
      </c>
      <c r="E2" s="4">
        <v>0</v>
      </c>
      <c r="F2" s="4">
        <v>1686940.72</v>
      </c>
      <c r="G2" s="4">
        <v>0</v>
      </c>
      <c r="H2" s="4">
        <v>37124.42</v>
      </c>
      <c r="I2" s="4">
        <v>1909693.61</v>
      </c>
    </row>
    <row r="3" spans="2:9" x14ac:dyDescent="0.25">
      <c r="C3" t="s">
        <v>15</v>
      </c>
      <c r="D3" s="4">
        <v>0</v>
      </c>
      <c r="E3" s="4">
        <v>0</v>
      </c>
      <c r="F3" s="4">
        <v>1867478.05</v>
      </c>
      <c r="G3" s="4">
        <v>0</v>
      </c>
      <c r="H3" s="4">
        <f>31863.25+52470.03</f>
        <v>84333.28</v>
      </c>
      <c r="I3" s="4">
        <v>2228646.29</v>
      </c>
    </row>
    <row r="4" spans="2:9" x14ac:dyDescent="0.25">
      <c r="C4" t="s">
        <v>16</v>
      </c>
      <c r="D4" s="4">
        <v>33902.17</v>
      </c>
      <c r="E4" s="4">
        <v>0</v>
      </c>
      <c r="F4" s="4">
        <v>1397794.08</v>
      </c>
      <c r="G4" s="4">
        <v>58098.36</v>
      </c>
      <c r="H4" s="4">
        <f>40444.64+87438.7+41803.61</f>
        <v>169686.95</v>
      </c>
      <c r="I4" s="4">
        <v>2510992.2200000002</v>
      </c>
    </row>
    <row r="5" spans="2:9" x14ac:dyDescent="0.25">
      <c r="C5" t="s">
        <v>17</v>
      </c>
      <c r="D5" s="4">
        <v>388301.39</v>
      </c>
      <c r="E5" s="4">
        <v>0</v>
      </c>
      <c r="F5" s="4">
        <v>245056.76</v>
      </c>
      <c r="G5" s="4">
        <v>729003.62</v>
      </c>
      <c r="H5" s="4">
        <f>132690.72+75544+68234.76</f>
        <v>276469.48</v>
      </c>
      <c r="I5" s="4">
        <v>2487124.77</v>
      </c>
    </row>
    <row r="6" spans="2:9" x14ac:dyDescent="0.25">
      <c r="C6" t="s">
        <v>18</v>
      </c>
      <c r="D6" s="4">
        <v>478924.99</v>
      </c>
      <c r="E6" s="4">
        <v>0</v>
      </c>
      <c r="F6" s="4">
        <v>0</v>
      </c>
      <c r="G6" s="4">
        <v>699616.58</v>
      </c>
      <c r="H6" s="4">
        <f>62611.25+42428.18+47168.94</f>
        <v>152208.37</v>
      </c>
      <c r="I6" s="4">
        <v>2369264.6400000001</v>
      </c>
    </row>
    <row r="7" spans="2:9" x14ac:dyDescent="0.25">
      <c r="D7" s="4"/>
      <c r="E7" s="4"/>
      <c r="F7" s="4"/>
      <c r="G7" s="4"/>
      <c r="H7" s="4"/>
      <c r="I7" s="4"/>
    </row>
    <row r="8" spans="2:9" ht="31.5" x14ac:dyDescent="0.25">
      <c r="B8" s="1" t="s">
        <v>2</v>
      </c>
      <c r="C8" t="s">
        <v>15</v>
      </c>
      <c r="D8" s="4">
        <f>D3*$I$2/$I3</f>
        <v>0</v>
      </c>
      <c r="E8" s="4">
        <f>(E3-E2)*$I$2/$I3</f>
        <v>0</v>
      </c>
      <c r="F8" s="4">
        <f>(F3)*$I$2/$I3</f>
        <v>1600213.9571911434</v>
      </c>
      <c r="G8" s="4">
        <f>(G3)*$I$2/$I3</f>
        <v>0</v>
      </c>
      <c r="H8" s="4">
        <f>(H3)*$I$2/$I3</f>
        <v>72263.923911560152</v>
      </c>
      <c r="I8" s="4">
        <f>I3*$I$2/$I3</f>
        <v>1909693.61</v>
      </c>
    </row>
    <row r="9" spans="2:9" x14ac:dyDescent="0.25">
      <c r="B9" s="1"/>
      <c r="C9" t="s">
        <v>16</v>
      </c>
      <c r="D9" s="4">
        <f t="shared" ref="D9:D11" si="0">D4*$I$2/$I4</f>
        <v>25783.734771640866</v>
      </c>
      <c r="E9" s="4">
        <f t="shared" ref="E9:E11" si="1">(E4-E3)*$I$2/$I4</f>
        <v>0</v>
      </c>
      <c r="F9" s="4">
        <f t="shared" ref="F9:H9" si="2">(F4)*$I$2/$I4</f>
        <v>1063069.1729788908</v>
      </c>
      <c r="G9" s="4">
        <f t="shared" si="2"/>
        <v>44185.746956826333</v>
      </c>
      <c r="H9" s="4">
        <f t="shared" si="2"/>
        <v>129052.60380113384</v>
      </c>
      <c r="I9" s="4">
        <f t="shared" ref="I9:I11" si="3">I4*$I$2/$I4</f>
        <v>1909693.61</v>
      </c>
    </row>
    <row r="10" spans="2:9" x14ac:dyDescent="0.25">
      <c r="B10" s="1"/>
      <c r="C10" t="s">
        <v>17</v>
      </c>
      <c r="D10" s="4">
        <f t="shared" si="0"/>
        <v>298150.17412138835</v>
      </c>
      <c r="E10" s="4">
        <f t="shared" si="1"/>
        <v>0</v>
      </c>
      <c r="F10" s="4">
        <f t="shared" ref="F10:H10" si="4">(F5)*$I$2/$I5</f>
        <v>188162.38505770807</v>
      </c>
      <c r="G10" s="4">
        <f t="shared" si="4"/>
        <v>559752.1972252595</v>
      </c>
      <c r="H10" s="4">
        <f t="shared" si="4"/>
        <v>212282.07192678266</v>
      </c>
      <c r="I10" s="4">
        <f t="shared" si="3"/>
        <v>1909693.61</v>
      </c>
    </row>
    <row r="11" spans="2:9" x14ac:dyDescent="0.25">
      <c r="B11" s="1"/>
      <c r="C11" t="s">
        <v>18</v>
      </c>
      <c r="D11" s="4">
        <f>D6*$I$2/$I6</f>
        <v>386026.94592711853</v>
      </c>
      <c r="E11" s="4">
        <f t="shared" si="1"/>
        <v>0</v>
      </c>
      <c r="F11" s="4">
        <f t="shared" ref="F11:H11" si="5">(F6)*$I$2/$I6</f>
        <v>0</v>
      </c>
      <c r="G11" s="4">
        <f t="shared" si="5"/>
        <v>563910.5441070752</v>
      </c>
      <c r="H11" s="4">
        <f t="shared" si="5"/>
        <v>122684.20617526106</v>
      </c>
      <c r="I11" s="4">
        <f t="shared" si="3"/>
        <v>1909693.6100000003</v>
      </c>
    </row>
    <row r="12" spans="2:9" x14ac:dyDescent="0.25">
      <c r="B12" s="1"/>
      <c r="D12" s="4"/>
      <c r="E12" s="4"/>
      <c r="F12" s="4"/>
      <c r="G12" s="4"/>
      <c r="H12" s="4"/>
      <c r="I12" s="4"/>
    </row>
    <row r="13" spans="2:9" x14ac:dyDescent="0.25">
      <c r="B13" s="1"/>
      <c r="C13" t="s">
        <v>15</v>
      </c>
      <c r="D13" s="4">
        <f>D8</f>
        <v>0</v>
      </c>
      <c r="E13" s="4">
        <f t="shared" ref="E13:I14" si="6">E8</f>
        <v>0</v>
      </c>
      <c r="F13" s="4">
        <f t="shared" si="6"/>
        <v>1600213.9571911434</v>
      </c>
      <c r="G13" s="4">
        <f t="shared" si="6"/>
        <v>0</v>
      </c>
      <c r="H13" s="4">
        <f t="shared" si="6"/>
        <v>72263.923911560152</v>
      </c>
      <c r="I13" s="4">
        <f t="shared" si="6"/>
        <v>1909693.61</v>
      </c>
    </row>
    <row r="14" spans="2:9" x14ac:dyDescent="0.25">
      <c r="B14" s="1"/>
      <c r="C14" t="s">
        <v>16</v>
      </c>
      <c r="D14" s="4">
        <f>D9</f>
        <v>25783.734771640866</v>
      </c>
      <c r="E14" s="4">
        <f t="shared" si="6"/>
        <v>0</v>
      </c>
      <c r="F14" s="4">
        <f t="shared" si="6"/>
        <v>1063069.1729788908</v>
      </c>
      <c r="G14" s="4">
        <f t="shared" si="6"/>
        <v>44185.746956826333</v>
      </c>
      <c r="H14" s="4">
        <f t="shared" si="6"/>
        <v>129052.60380113384</v>
      </c>
      <c r="I14" s="4">
        <f t="shared" si="6"/>
        <v>1909693.61</v>
      </c>
    </row>
    <row r="15" spans="2:9" x14ac:dyDescent="0.25">
      <c r="B15" s="1"/>
      <c r="C15" t="s">
        <v>17</v>
      </c>
      <c r="D15" s="4">
        <f>D10</f>
        <v>298150.17412138835</v>
      </c>
      <c r="E15" s="4">
        <f t="shared" ref="E15:I16" si="7">E10</f>
        <v>0</v>
      </c>
      <c r="F15" s="4">
        <f t="shared" si="7"/>
        <v>188162.38505770807</v>
      </c>
      <c r="G15" s="4">
        <f t="shared" si="7"/>
        <v>559752.1972252595</v>
      </c>
      <c r="H15" s="4">
        <f t="shared" si="7"/>
        <v>212282.07192678266</v>
      </c>
      <c r="I15" s="4">
        <f t="shared" si="7"/>
        <v>1909693.61</v>
      </c>
    </row>
    <row r="16" spans="2:9" x14ac:dyDescent="0.25">
      <c r="C16" t="s">
        <v>18</v>
      </c>
      <c r="D16" s="4">
        <f>D11</f>
        <v>386026.94592711853</v>
      </c>
      <c r="E16" s="4">
        <f t="shared" si="7"/>
        <v>0</v>
      </c>
      <c r="F16" s="4">
        <f t="shared" si="7"/>
        <v>0</v>
      </c>
      <c r="G16" s="4">
        <f t="shared" si="7"/>
        <v>563910.5441070752</v>
      </c>
      <c r="H16" s="4">
        <f t="shared" si="7"/>
        <v>122684.20617526106</v>
      </c>
      <c r="I16" s="4">
        <f t="shared" si="7"/>
        <v>1909693.6100000003</v>
      </c>
    </row>
    <row r="17" spans="3:9" x14ac:dyDescent="0.25">
      <c r="C17" s="1"/>
      <c r="D17" s="4"/>
      <c r="E17" s="4"/>
      <c r="F17" s="4"/>
      <c r="G17" s="4"/>
      <c r="H17" s="4"/>
      <c r="I17" s="4"/>
    </row>
    <row r="18" spans="3:9" x14ac:dyDescent="0.25">
      <c r="C18" s="1"/>
      <c r="D18" s="4" t="s">
        <v>4</v>
      </c>
      <c r="E18" s="4" t="s">
        <v>8</v>
      </c>
      <c r="F18" s="4" t="s">
        <v>5</v>
      </c>
      <c r="G18" s="4" t="s">
        <v>9</v>
      </c>
      <c r="H18" s="4" t="s">
        <v>11</v>
      </c>
      <c r="I18" s="4" t="s">
        <v>6</v>
      </c>
    </row>
    <row r="19" spans="3:9" x14ac:dyDescent="0.25">
      <c r="C19" t="s">
        <v>15</v>
      </c>
      <c r="D19" s="4">
        <f>D13/SUM($D$2:$H$2)</f>
        <v>0</v>
      </c>
      <c r="E19" s="4">
        <f t="shared" ref="E19:H19" si="8">E13/SUM($D$2:$H$2)</f>
        <v>0</v>
      </c>
      <c r="F19" s="4">
        <f t="shared" si="8"/>
        <v>0.92816328111079582</v>
      </c>
      <c r="G19" s="4">
        <f t="shared" si="8"/>
        <v>0</v>
      </c>
      <c r="H19" s="4">
        <f t="shared" si="8"/>
        <v>4.1914845463182533E-2</v>
      </c>
      <c r="I19" s="4">
        <f>1-SUM(D19:H19)</f>
        <v>2.9921873426021595E-2</v>
      </c>
    </row>
    <row r="20" spans="3:9" x14ac:dyDescent="0.25">
      <c r="C20" t="s">
        <v>16</v>
      </c>
      <c r="D20" s="4">
        <f t="shared" ref="D20:H22" si="9">D14/SUM($D$2:$H$2)</f>
        <v>1.4955197558046366E-2</v>
      </c>
      <c r="E20" s="4">
        <f t="shared" si="9"/>
        <v>0</v>
      </c>
      <c r="F20" s="4">
        <f t="shared" si="9"/>
        <v>0.61660615269959629</v>
      </c>
      <c r="G20" s="4">
        <f t="shared" si="9"/>
        <v>2.5628815252784667E-2</v>
      </c>
      <c r="H20" s="4">
        <f t="shared" si="9"/>
        <v>7.4853670436799066E-2</v>
      </c>
      <c r="I20" s="4">
        <f t="shared" ref="I20:I22" si="10">1-SUM(D20:H20)</f>
        <v>0.26795616405277356</v>
      </c>
    </row>
    <row r="21" spans="3:9" x14ac:dyDescent="0.25">
      <c r="C21" t="s">
        <v>17</v>
      </c>
      <c r="D21" s="4">
        <f t="shared" si="9"/>
        <v>0.17293440207333952</v>
      </c>
      <c r="E21" s="4">
        <f t="shared" si="9"/>
        <v>0</v>
      </c>
      <c r="F21" s="4">
        <f t="shared" si="9"/>
        <v>0.10913879104226194</v>
      </c>
      <c r="G21" s="4">
        <f t="shared" si="9"/>
        <v>0.32466998156766835</v>
      </c>
      <c r="H21" s="4">
        <f t="shared" si="9"/>
        <v>0.12312880006771826</v>
      </c>
      <c r="I21" s="4">
        <f t="shared" si="10"/>
        <v>0.27012802524901192</v>
      </c>
    </row>
    <row r="22" spans="3:9" x14ac:dyDescent="0.25">
      <c r="C22" t="s">
        <v>18</v>
      </c>
      <c r="D22" s="4">
        <f t="shared" si="9"/>
        <v>0.22390508164158957</v>
      </c>
      <c r="E22" s="4">
        <f t="shared" si="9"/>
        <v>0</v>
      </c>
      <c r="F22" s="4">
        <f t="shared" si="9"/>
        <v>0</v>
      </c>
      <c r="G22" s="4">
        <f t="shared" si="9"/>
        <v>0.32708192458846147</v>
      </c>
      <c r="H22" s="4">
        <f t="shared" si="9"/>
        <v>7.1159843864867581E-2</v>
      </c>
      <c r="I22" s="4">
        <f t="shared" si="10"/>
        <v>0.37785314990508134</v>
      </c>
    </row>
    <row r="23" spans="3:9" x14ac:dyDescent="0.25">
      <c r="D23" s="4"/>
      <c r="E23" s="4"/>
      <c r="F23" s="4"/>
      <c r="G23" s="4"/>
      <c r="H23" s="4"/>
      <c r="I23" s="4"/>
    </row>
    <row r="24" spans="3:9" x14ac:dyDescent="0.25">
      <c r="D24" s="4"/>
      <c r="E24" s="4"/>
      <c r="F24" s="4"/>
      <c r="G24" s="4"/>
      <c r="H24" s="4"/>
      <c r="I24" s="4"/>
    </row>
    <row r="25" spans="3:9" x14ac:dyDescent="0.25">
      <c r="D25" s="4"/>
      <c r="E25" s="4"/>
      <c r="F25" s="4"/>
      <c r="G25" s="4"/>
      <c r="H25" s="4"/>
      <c r="I25" s="4"/>
    </row>
    <row r="26" spans="3:9" x14ac:dyDescent="0.25">
      <c r="D26" s="4"/>
      <c r="E26" s="4"/>
      <c r="F26" s="4"/>
      <c r="G26" s="4"/>
      <c r="H26" s="4"/>
      <c r="I26" s="4"/>
    </row>
    <row r="27" spans="3:9" x14ac:dyDescent="0.25">
      <c r="C27" s="1"/>
      <c r="D27" s="4"/>
      <c r="E27" s="4"/>
      <c r="F27" s="4"/>
      <c r="G27" s="4"/>
      <c r="H27" s="4"/>
      <c r="I27" s="4"/>
    </row>
    <row r="28" spans="3:9" x14ac:dyDescent="0.25">
      <c r="C28" s="1"/>
      <c r="D28" s="4"/>
      <c r="E28" s="4"/>
      <c r="F28" s="4"/>
      <c r="G28" s="4"/>
      <c r="H28" s="4"/>
      <c r="I28" s="4"/>
    </row>
    <row r="29" spans="3:9" x14ac:dyDescent="0.25">
      <c r="D29" s="4"/>
      <c r="E29" s="4"/>
      <c r="F29" s="4"/>
      <c r="G29" s="4"/>
      <c r="H29" s="4"/>
      <c r="I29" s="4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2"/>
    </row>
    <row r="94" spans="14:14" x14ac:dyDescent="0.25">
      <c r="N94" s="2"/>
    </row>
    <row r="95" spans="14:14" x14ac:dyDescent="0.25">
      <c r="N95" s="2"/>
    </row>
    <row r="96" spans="14:14" x14ac:dyDescent="0.25">
      <c r="N96" s="2"/>
    </row>
    <row r="97" spans="14:14" x14ac:dyDescent="0.25">
      <c r="N97" s="2"/>
    </row>
    <row r="98" spans="14:14" x14ac:dyDescent="0.25">
      <c r="N98" s="2"/>
    </row>
    <row r="99" spans="14:14" x14ac:dyDescent="0.25">
      <c r="N99" s="2"/>
    </row>
    <row r="100" spans="14:14" x14ac:dyDescent="0.25">
      <c r="N100" s="2"/>
    </row>
    <row r="101" spans="14:14" x14ac:dyDescent="0.25">
      <c r="N101" s="2"/>
    </row>
    <row r="102" spans="14:14" x14ac:dyDescent="0.25">
      <c r="N102" s="2"/>
    </row>
    <row r="103" spans="14:14" x14ac:dyDescent="0.25">
      <c r="N103" s="2"/>
    </row>
    <row r="104" spans="14:14" x14ac:dyDescent="0.25">
      <c r="N1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2025-11-18T07:58:32Z</dcterms:modified>
</cp:coreProperties>
</file>